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r\"/>
    </mc:Choice>
  </mc:AlternateContent>
  <xr:revisionPtr revIDLastSave="0" documentId="13_ncr:1_{BDC57F87-CE21-4D06-89C5-833C194DB090}" xr6:coauthVersionLast="47" xr6:coauthVersionMax="47" xr10:uidLastSave="{00000000-0000-0000-0000-000000000000}"/>
  <bookViews>
    <workbookView xWindow="-108" yWindow="-108" windowWidth="23256" windowHeight="12456" activeTab="1" xr2:uid="{9B90ECA5-DDCC-4CD7-B437-9892999844C0}"/>
  </bookViews>
  <sheets>
    <sheet name="Sheet1" sheetId="1" r:id="rId1"/>
    <sheet name="susheela" sheetId="2" r:id="rId2"/>
    <sheet name="Sheet2" sheetId="3" r:id="rId3"/>
    <sheet name="Sheet3" sheetId="4" r:id="rId4"/>
  </sheets>
  <definedNames>
    <definedName name="_xlnm._FilterDatabase" localSheetId="0" hidden="1">Sheet1!$A$16:$R$101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6" i="2" l="1"/>
  <c r="T115" i="2"/>
  <c r="T111" i="2"/>
  <c r="T110" i="2"/>
  <c r="T99" i="2"/>
  <c r="T100" i="2"/>
  <c r="T101" i="2"/>
  <c r="T102" i="2"/>
  <c r="T103" i="2"/>
  <c r="T104" i="2"/>
  <c r="T105" i="2"/>
  <c r="T106" i="2"/>
  <c r="T107" i="2"/>
  <c r="T108" i="2"/>
  <c r="T98" i="2"/>
  <c r="T97" i="2"/>
  <c r="B117" i="2"/>
  <c r="B118" i="2" s="1"/>
  <c r="K113" i="2" l="1"/>
  <c r="J113" i="2"/>
  <c r="H25" i="1"/>
  <c r="E111" i="2"/>
  <c r="D111" i="2"/>
  <c r="C111" i="2"/>
  <c r="D93" i="2" l="1"/>
  <c r="F90" i="2"/>
  <c r="N84" i="1" l="1"/>
  <c r="E90" i="2"/>
  <c r="K84" i="2"/>
  <c r="L84" i="2" s="1"/>
  <c r="M84" i="2" s="1"/>
  <c r="M89" i="2" s="1"/>
  <c r="N89" i="2" s="1"/>
  <c r="X12" i="2" l="1"/>
  <c r="X72" i="2"/>
  <c r="AN31" i="2"/>
  <c r="AN34" i="2" s="1"/>
  <c r="J34" i="3"/>
  <c r="J31" i="3"/>
  <c r="J26" i="3"/>
  <c r="J16" i="3"/>
  <c r="J11" i="3"/>
  <c r="J5" i="3"/>
  <c r="N11" i="3" s="1"/>
  <c r="N12" i="3" s="1"/>
  <c r="C103" i="1"/>
  <c r="E110" i="1"/>
  <c r="E106" i="1"/>
  <c r="C122" i="1"/>
  <c r="C120" i="1"/>
  <c r="Q52" i="1"/>
  <c r="R53" i="1" s="1"/>
  <c r="C79" i="1"/>
  <c r="AI1" i="2" l="1"/>
  <c r="AO24" i="2"/>
  <c r="AM26" i="2"/>
  <c r="AO25" i="2"/>
  <c r="AO27" i="2" s="1"/>
  <c r="AL6" i="2"/>
  <c r="AL18" i="2" s="1"/>
  <c r="AL20" i="2" s="1"/>
  <c r="O32" i="1"/>
  <c r="O35" i="1" s="1"/>
  <c r="O37" i="1" s="1"/>
  <c r="O39" i="1" s="1"/>
  <c r="O42" i="1" s="1"/>
  <c r="L75" i="1" l="1"/>
  <c r="O80" i="1" l="1"/>
  <c r="P80" i="1" s="1"/>
  <c r="Q80" i="1" s="1"/>
  <c r="R59" i="1" l="1"/>
  <c r="O55" i="1"/>
  <c r="K20" i="1" l="1"/>
  <c r="K22" i="1" s="1"/>
  <c r="K56" i="1"/>
  <c r="K60" i="1" s="1"/>
  <c r="O46" i="1" l="1"/>
  <c r="O45" i="1"/>
  <c r="O44" i="1"/>
  <c r="K37" i="1"/>
  <c r="L37" i="1" s="1"/>
  <c r="H17" i="1"/>
  <c r="K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tc={CBC5DFF3-6983-4660-A52B-2E7A11185622}</author>
    <author>tc={52644CF9-E1C7-4DBA-9932-411594398899}</author>
    <author>tc={18A755A4-E79A-4AC2-8388-CD46ECE09B20}</author>
    <author>tc={981A062A-BDC8-4EC4-B4A1-C97DCC341B7E}</author>
    <author>tc={F05CA058-C73B-4BBC-A779-92BEF29E08C4}</author>
  </authors>
  <commentList>
    <comment ref="O20" authorId="0" shapeId="0" xr:uid="{CBC5DFF3-6983-4660-A52B-2E7A1118562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Saasu</t>
      </text>
    </comment>
    <comment ref="O21" authorId="1" shapeId="0" xr:uid="{52644CF9-E1C7-4DBA-9932-411594398899}">
      <text>
        <t>[Threaded comment]
Your version of Excel allows you to read this threaded comment; however, any edits to it will get removed if the file is opened in a newer version of Excel. Learn more: https://go.microsoft.com/fwlink/?linkid=870924
Comment:
    FD</t>
      </text>
    </comment>
    <comment ref="H26" authorId="2" shapeId="0" xr:uid="{18A755A4-E79A-4AC2-8388-CD46ECE09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PrasannaKumari Paint</t>
      </text>
    </comment>
    <comment ref="H27" authorId="3" shapeId="0" xr:uid="{981A062A-BDC8-4EC4-B4A1-C97DCC341B7E}">
      <text>
        <t>[Threaded comment]
Your version of Excel allows you to read this threaded comment; however, any edits to it will get removed if the file is opened in a newer version of Excel. Learn more: https://go.microsoft.com/fwlink/?linkid=870924
Comment:
    Ff rent for june2024</t>
      </text>
    </comment>
    <comment ref="H28" authorId="4" shapeId="0" xr:uid="{F05CA058-C73B-4BBC-A779-92BEF29E0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Shop rent for june2024</t>
      </text>
    </comment>
  </commentList>
</comments>
</file>

<file path=xl/sharedStrings.xml><?xml version="1.0" encoding="utf-8"?>
<sst xmlns="http://schemas.openxmlformats.org/spreadsheetml/2006/main" count="413" uniqueCount="277">
  <si>
    <t>xerox</t>
  </si>
  <si>
    <t>paperPlate</t>
  </si>
  <si>
    <t>tarakari</t>
  </si>
  <si>
    <t>balehannu</t>
  </si>
  <si>
    <t>market</t>
  </si>
  <si>
    <t>elneeru</t>
  </si>
  <si>
    <t>coconut</t>
  </si>
  <si>
    <t>fruits(avi)</t>
  </si>
  <si>
    <t>plasticCo</t>
  </si>
  <si>
    <t>bananaLeaf</t>
  </si>
  <si>
    <t>purothith</t>
  </si>
  <si>
    <t>plate</t>
  </si>
  <si>
    <t>gas</t>
  </si>
  <si>
    <t>akki</t>
  </si>
  <si>
    <t>sanky</t>
  </si>
  <si>
    <t>dashpindPlace</t>
  </si>
  <si>
    <t>Purohit</t>
  </si>
  <si>
    <t>tulasi</t>
  </si>
  <si>
    <t>pooja</t>
  </si>
  <si>
    <t>matchbox</t>
  </si>
  <si>
    <t>923A</t>
  </si>
  <si>
    <t>postoffice</t>
  </si>
  <si>
    <t>1stfloor</t>
  </si>
  <si>
    <t>shop</t>
  </si>
  <si>
    <t>bakery</t>
  </si>
  <si>
    <t>janardana</t>
  </si>
  <si>
    <t>prateeksha</t>
  </si>
  <si>
    <t>Naveena</t>
  </si>
  <si>
    <t>unionBank</t>
  </si>
  <si>
    <t>canara</t>
  </si>
  <si>
    <t>citizen</t>
  </si>
  <si>
    <t>Mother</t>
  </si>
  <si>
    <t>Rent</t>
  </si>
  <si>
    <t>Advance</t>
  </si>
  <si>
    <t>basavaraj</t>
  </si>
  <si>
    <t>khataCer</t>
  </si>
  <si>
    <t>tap</t>
  </si>
  <si>
    <t>prasannaKumari</t>
  </si>
  <si>
    <t>pk painting</t>
  </si>
  <si>
    <t>ff june</t>
  </si>
  <si>
    <t>shop june</t>
  </si>
  <si>
    <t>Registration</t>
  </si>
  <si>
    <t>laxman</t>
  </si>
  <si>
    <t>as on 15aug</t>
  </si>
  <si>
    <t>FFJuly</t>
  </si>
  <si>
    <t>shop July</t>
  </si>
  <si>
    <t>EC</t>
  </si>
  <si>
    <t>Unnati</t>
  </si>
  <si>
    <t>Prateeksha</t>
  </si>
  <si>
    <t>with mom</t>
  </si>
  <si>
    <t>shopAug</t>
  </si>
  <si>
    <t>FfAug</t>
  </si>
  <si>
    <t>GfAug</t>
  </si>
  <si>
    <t>923GF</t>
  </si>
  <si>
    <t>hosePipe</t>
  </si>
  <si>
    <t>affidavit</t>
  </si>
  <si>
    <t>anantha</t>
  </si>
  <si>
    <t>Susheela</t>
  </si>
  <si>
    <t>FF_Sep</t>
  </si>
  <si>
    <t>shopSep</t>
  </si>
  <si>
    <t>GF_Sep</t>
  </si>
  <si>
    <t>FD000100001796</t>
  </si>
  <si>
    <t>FD000100001797</t>
  </si>
  <si>
    <t>FD000100001798</t>
  </si>
  <si>
    <t>SBI</t>
  </si>
  <si>
    <t>Kuvempu</t>
  </si>
  <si>
    <t>CCB</t>
  </si>
  <si>
    <t>from date</t>
  </si>
  <si>
    <t>to date</t>
  </si>
  <si>
    <t>FD004086</t>
  </si>
  <si>
    <t>fd004087</t>
  </si>
  <si>
    <t>fd004118</t>
  </si>
  <si>
    <t>FD004147</t>
  </si>
  <si>
    <t>FD004148</t>
  </si>
  <si>
    <t>FD004149</t>
  </si>
  <si>
    <t>FD004150</t>
  </si>
  <si>
    <t>FD004151</t>
  </si>
  <si>
    <t>FD004152</t>
  </si>
  <si>
    <t>FD004153</t>
  </si>
  <si>
    <t>FD004154</t>
  </si>
  <si>
    <t>Canara</t>
  </si>
  <si>
    <t>paint</t>
  </si>
  <si>
    <t>boreWater</t>
  </si>
  <si>
    <t>Khata</t>
  </si>
  <si>
    <t>waterlevelcontroller</t>
  </si>
  <si>
    <t>FF_Oct</t>
  </si>
  <si>
    <t>GF_Oct</t>
  </si>
  <si>
    <t>shop_Oct</t>
  </si>
  <si>
    <t>130045471970/1</t>
  </si>
  <si>
    <t>130044690079/1</t>
  </si>
  <si>
    <t>coolie</t>
  </si>
  <si>
    <t>Vishnu</t>
  </si>
  <si>
    <t>khata</t>
  </si>
  <si>
    <t>ekhata1</t>
  </si>
  <si>
    <t>ekhata2</t>
  </si>
  <si>
    <t>140193982048-1</t>
  </si>
  <si>
    <t>washingMachine</t>
  </si>
  <si>
    <t>fanBearing</t>
  </si>
  <si>
    <t>platecutting</t>
  </si>
  <si>
    <t>painter</t>
  </si>
  <si>
    <t>electric</t>
  </si>
  <si>
    <t>octBill</t>
  </si>
  <si>
    <t>kasa</t>
  </si>
  <si>
    <t>FF_nov</t>
  </si>
  <si>
    <t>shop_nov</t>
  </si>
  <si>
    <t>cash</t>
  </si>
  <si>
    <t>netbanking</t>
  </si>
  <si>
    <t>140200374518-1</t>
  </si>
  <si>
    <t>140200612268-1</t>
  </si>
  <si>
    <t>130048464929/1</t>
  </si>
  <si>
    <t>plumber</t>
  </si>
  <si>
    <t>FF_dec</t>
  </si>
  <si>
    <t>shop_dec</t>
  </si>
  <si>
    <t>GF_dec</t>
  </si>
  <si>
    <t>FD004794</t>
  </si>
  <si>
    <t>ekhata</t>
  </si>
  <si>
    <t>130050399595/1</t>
  </si>
  <si>
    <t>latha</t>
  </si>
  <si>
    <t>susheela</t>
  </si>
  <si>
    <t>cash payment</t>
  </si>
  <si>
    <t>carpenter</t>
  </si>
  <si>
    <t>GF_jan</t>
  </si>
  <si>
    <t>shop_jan</t>
  </si>
  <si>
    <t>Nir -&gt; Mom</t>
  </si>
  <si>
    <t>130051445457/1</t>
  </si>
  <si>
    <t>sahana</t>
  </si>
  <si>
    <t>frm Unn</t>
  </si>
  <si>
    <t>130051473635/1</t>
  </si>
  <si>
    <t>ganganna</t>
  </si>
  <si>
    <t>GF_feb</t>
  </si>
  <si>
    <t>shop_feb</t>
  </si>
  <si>
    <t>toNir</t>
  </si>
  <si>
    <t>toNir(cash)</t>
  </si>
  <si>
    <t>naveena</t>
  </si>
  <si>
    <t>130052946455/1</t>
  </si>
  <si>
    <t>GF_Mar</t>
  </si>
  <si>
    <t>shop_Mar</t>
  </si>
  <si>
    <t>FF_jan2025</t>
  </si>
  <si>
    <t>FF_feb2025</t>
  </si>
  <si>
    <t>FF_Mar2025</t>
  </si>
  <si>
    <t>To</t>
  </si>
  <si>
    <t>Amount</t>
  </si>
  <si>
    <t>Beswakul</t>
  </si>
  <si>
    <t>Nira</t>
  </si>
  <si>
    <t>hall</t>
  </si>
  <si>
    <t>bedsheet</t>
  </si>
  <si>
    <t>bella</t>
  </si>
  <si>
    <t>coin</t>
  </si>
  <si>
    <t>umbrella</t>
  </si>
  <si>
    <t>redKumbala</t>
  </si>
  <si>
    <t>mesKK</t>
  </si>
  <si>
    <t>923Room</t>
  </si>
  <si>
    <t>tuppa</t>
  </si>
  <si>
    <t>haalu</t>
  </si>
  <si>
    <t>13+13+28</t>
  </si>
  <si>
    <t>hoovu</t>
  </si>
  <si>
    <t>hannu</t>
  </si>
  <si>
    <t>limbu</t>
  </si>
  <si>
    <t>drakshi</t>
  </si>
  <si>
    <t>baale</t>
  </si>
  <si>
    <t>oota</t>
  </si>
  <si>
    <t>amitha</t>
  </si>
  <si>
    <t>baman</t>
  </si>
  <si>
    <t>milk</t>
  </si>
  <si>
    <t>Gejjevastra</t>
  </si>
  <si>
    <t>oota_ppl</t>
  </si>
  <si>
    <t>ToSushee</t>
  </si>
  <si>
    <t>130*500</t>
  </si>
  <si>
    <t>70*500</t>
  </si>
  <si>
    <t>60*500</t>
  </si>
  <si>
    <t>SCSS0677294</t>
  </si>
  <si>
    <t>130056268745/1</t>
  </si>
  <si>
    <t>FDR online</t>
  </si>
  <si>
    <t>sahanaPU</t>
  </si>
  <si>
    <t>proptax</t>
  </si>
  <si>
    <t>FF_apr25</t>
  </si>
  <si>
    <t>GF_apr</t>
  </si>
  <si>
    <t>shop_apr</t>
  </si>
  <si>
    <t>Mom --&gt; Nir</t>
  </si>
  <si>
    <t>about advance</t>
  </si>
  <si>
    <t>GF_may</t>
  </si>
  <si>
    <t>FF_May</t>
  </si>
  <si>
    <t>shop_may</t>
  </si>
  <si>
    <t>pending</t>
  </si>
  <si>
    <t>FD004936</t>
  </si>
  <si>
    <t>130059123454/1</t>
  </si>
  <si>
    <t>kalyan</t>
  </si>
  <si>
    <t>GF_june</t>
  </si>
  <si>
    <t>FF_June</t>
  </si>
  <si>
    <t>shop_june</t>
  </si>
  <si>
    <t>H000014790202526BLRC04522A</t>
  </si>
  <si>
    <t>130061278608/1</t>
  </si>
  <si>
    <t>H000015375202526BLRC04522A</t>
  </si>
  <si>
    <t>GF_jul</t>
  </si>
  <si>
    <t>FF_Jul</t>
  </si>
  <si>
    <t>shop_jul</t>
  </si>
  <si>
    <t>toSasu</t>
  </si>
  <si>
    <t>17June2024</t>
  </si>
  <si>
    <t>painting</t>
  </si>
  <si>
    <t>advance</t>
  </si>
  <si>
    <t>paidTillDate</t>
  </si>
  <si>
    <t>Rent for 14</t>
  </si>
  <si>
    <t>8monthsRentPendingAtTimeOfDadDeath</t>
  </si>
  <si>
    <t>GF_Aug</t>
  </si>
  <si>
    <t>FF_Aug</t>
  </si>
  <si>
    <t>shop_Aug</t>
  </si>
  <si>
    <r>
      <rPr>
        <sz val="8"/>
        <color rgb="FF2D2D2D"/>
        <rFont val="Arial MT"/>
        <family val="2"/>
      </rPr>
      <t>GROSS INT CR : 130045471970</t>
    </r>
  </si>
  <si>
    <r>
      <rPr>
        <sz val="8"/>
        <color rgb="FF2D2D2D"/>
        <rFont val="Arial MT"/>
        <family val="2"/>
      </rPr>
      <t>/1</t>
    </r>
  </si>
  <si>
    <r>
      <rPr>
        <sz val="8"/>
        <color rgb="FF2D2D2D"/>
        <rFont val="Arial MT"/>
        <family val="2"/>
      </rPr>
      <t>GROSS INT CR : 130050399595</t>
    </r>
  </si>
  <si>
    <t xml:space="preserve">   DEPOSIT TRANSFER-INT TRF FRM 41720198767 TO 41061151001--</t>
  </si>
  <si>
    <t xml:space="preserve">TRANSFER FROM 41720198767                         </t>
  </si>
  <si>
    <t xml:space="preserve"> </t>
  </si>
  <si>
    <r>
      <rPr>
        <sz val="8"/>
        <color rgb="FF2D2D2D"/>
        <rFont val="Arial MT"/>
        <family val="2"/>
      </rPr>
      <t>GROSS INT CR : 130051445457</t>
    </r>
  </si>
  <si>
    <r>
      <rPr>
        <sz val="8"/>
        <color rgb="FF2D2D2D"/>
        <rFont val="Arial MT"/>
        <family val="2"/>
      </rPr>
      <t>GROSS INT CR : 130051473635</t>
    </r>
  </si>
  <si>
    <r>
      <rPr>
        <sz val="8"/>
        <color rgb="FF2D2D2D"/>
        <rFont val="Arial MT"/>
        <family val="2"/>
      </rPr>
      <t>GROSS INT CR : 130048464929</t>
    </r>
  </si>
  <si>
    <r>
      <rPr>
        <sz val="8"/>
        <color rgb="FF2D2D2D"/>
        <rFont val="Arial MT"/>
        <family val="2"/>
      </rPr>
      <t>GROSS INT CR : 130052946455</t>
    </r>
  </si>
  <si>
    <r>
      <rPr>
        <sz val="8"/>
        <color rgb="FF2D2D2D"/>
        <rFont val="Arial MT"/>
        <family val="2"/>
      </rPr>
      <t xml:space="preserve">SBINT FOR THE PERIOD FROM28-
</t>
    </r>
    <r>
      <rPr>
        <sz val="8"/>
        <color rgb="FF2D2D2D"/>
        <rFont val="Arial MT"/>
        <family val="2"/>
      </rPr>
      <t>MAR-25 TO 27-JUN-25</t>
    </r>
  </si>
  <si>
    <r>
      <rPr>
        <sz val="8"/>
        <color rgb="FF2D2D2D"/>
        <rFont val="Arial MT"/>
        <family val="2"/>
      </rPr>
      <t xml:space="preserve">INT-SCSS0677000291-APR-JUN-25-TDS
</t>
    </r>
    <r>
      <rPr>
        <sz val="8"/>
        <color rgb="FF2D2D2D"/>
        <rFont val="Arial MT"/>
        <family val="2"/>
      </rPr>
      <t>0</t>
    </r>
  </si>
  <si>
    <r>
      <rPr>
        <sz val="8"/>
        <color rgb="FF2D2D2D"/>
        <rFont val="Arial MT"/>
        <family val="2"/>
      </rPr>
      <t xml:space="preserve">INT-SCSS0677000295-MAY-JUN-25-TDS
</t>
    </r>
    <r>
      <rPr>
        <sz val="8"/>
        <color rgb="FF2D2D2D"/>
        <rFont val="Arial MT"/>
        <family val="2"/>
      </rPr>
      <t>0</t>
    </r>
  </si>
  <si>
    <r>
      <rPr>
        <sz val="8"/>
        <color rgb="FF2D2D2D"/>
        <rFont val="Arial MT"/>
        <family val="2"/>
      </rPr>
      <t>GROSS INT CR : 130044690079    /1</t>
    </r>
  </si>
  <si>
    <r>
      <rPr>
        <sz val="8"/>
        <color rgb="FF2D2D2D"/>
        <rFont val="Arial MT"/>
        <family val="2"/>
      </rPr>
      <t>GROSS INT CR : 130045471970    /1</t>
    </r>
  </si>
  <si>
    <r>
      <rPr>
        <sz val="8"/>
        <color rgb="FF2D2D2D"/>
        <rFont val="Arial MT"/>
        <family val="2"/>
      </rPr>
      <t>GROSS INT CR : 130050399595    /1</t>
    </r>
  </si>
  <si>
    <r>
      <rPr>
        <sz val="8"/>
        <color rgb="FF2D2D2D"/>
        <rFont val="Arial MT"/>
        <family val="2"/>
      </rPr>
      <t>GROSS INT CR : 130051445457    /1</t>
    </r>
  </si>
  <si>
    <r>
      <rPr>
        <sz val="8"/>
        <color rgb="FF2D2D2D"/>
        <rFont val="Arial MT"/>
        <family val="2"/>
      </rPr>
      <t>GROSS INT CR : 130051473635    /1</t>
    </r>
  </si>
  <si>
    <r>
      <rPr>
        <sz val="8"/>
        <color rgb="FF2D2D2D"/>
        <rFont val="Arial MT"/>
        <family val="2"/>
      </rPr>
      <t>GROSS INT CR : 130056268745    /1</t>
    </r>
  </si>
  <si>
    <t>FD005109</t>
  </si>
  <si>
    <t>Shop_Sep</t>
  </si>
  <si>
    <t>FD005183</t>
  </si>
  <si>
    <t>FD005184</t>
  </si>
  <si>
    <t>FF_oct</t>
  </si>
  <si>
    <t>GF_oct</t>
  </si>
  <si>
    <t>PostOffice</t>
  </si>
  <si>
    <t xml:space="preserve">SCSS548931
00000044028264625 </t>
  </si>
  <si>
    <t>SCSS0677290</t>
  </si>
  <si>
    <t>xxx</t>
  </si>
  <si>
    <t>5yrTD</t>
  </si>
  <si>
    <t>GF</t>
  </si>
  <si>
    <t>FF</t>
  </si>
  <si>
    <t>FD5518</t>
  </si>
  <si>
    <t>fd5426</t>
  </si>
  <si>
    <t>FF_Nov</t>
  </si>
  <si>
    <t>GF_Nov</t>
  </si>
  <si>
    <t>FF_jan2026</t>
  </si>
  <si>
    <t>FF_feb2026</t>
  </si>
  <si>
    <t>Gf_feb</t>
  </si>
  <si>
    <t>FF_Mar2026</t>
  </si>
  <si>
    <t>shop_mar</t>
  </si>
  <si>
    <t>GF_mar</t>
  </si>
  <si>
    <t>FF_apr26</t>
  </si>
  <si>
    <t>Ffdoor</t>
  </si>
  <si>
    <t>FF_may26</t>
  </si>
  <si>
    <t>GF_may26</t>
  </si>
  <si>
    <t>shop_may26</t>
  </si>
  <si>
    <t>FF_jun26</t>
  </si>
  <si>
    <t>GF_jun26</t>
  </si>
  <si>
    <t>sh_jun26</t>
  </si>
  <si>
    <t>FF_july26</t>
  </si>
  <si>
    <t>GF_july26</t>
  </si>
  <si>
    <t>sh_july26</t>
  </si>
  <si>
    <t>FF_aug26</t>
  </si>
  <si>
    <t>GF_aug26</t>
  </si>
  <si>
    <t>sh_aug26</t>
  </si>
  <si>
    <t>FF_sep26</t>
  </si>
  <si>
    <t>GF_sep26</t>
  </si>
  <si>
    <t>sh_sep26</t>
  </si>
  <si>
    <t>FF_oct26</t>
  </si>
  <si>
    <t>GF_oct26</t>
  </si>
  <si>
    <t>sh_oct26</t>
  </si>
  <si>
    <t>FF_nov26</t>
  </si>
  <si>
    <t>GF_nov26</t>
  </si>
  <si>
    <t>sh_nov26</t>
  </si>
  <si>
    <t>FF_dec26</t>
  </si>
  <si>
    <t>GF_dec26</t>
  </si>
  <si>
    <t>sh_dec26</t>
  </si>
  <si>
    <t>FF_jan27</t>
  </si>
  <si>
    <t>GF_jan27</t>
  </si>
  <si>
    <t>sh_jan27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</si>
</sst>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\ hh:mm:ss;@"/>
    <numFmt numFmtId="165" formatCode="dd\ mmm\ yyyy;@"/>
    <numFmt numFmtId="166" formatCode="00000000000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2D2D2D"/>
      <name val="Arial MT"/>
      <family val="2"/>
    </font>
    <font>
      <sz val="8"/>
      <name val="Arial MT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15" fontId="0" fillId="0" borderId="0" xfId="0" applyNumberFormat="1"/>
    <xf numFmtId="16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17" fontId="0" fillId="0" borderId="0" xfId="0" applyNumberFormat="1"/>
    <xf numFmtId="0" fontId="0" fillId="6" borderId="0" xfId="0" applyFill="1"/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wrapText="1"/>
    </xf>
    <xf numFmtId="0" fontId="0" fillId="7" borderId="0" xfId="0" applyFill="1"/>
    <xf numFmtId="0" fontId="4" fillId="0" borderId="0" xfId="0" applyFont="1"/>
    <xf numFmtId="0" fontId="5" fillId="0" borderId="0" xfId="0" applyFont="1"/>
    <xf numFmtId="0" fontId="0" fillId="7" borderId="1" xfId="0" applyFill="1" applyBorder="1"/>
    <xf numFmtId="15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9" fontId="0" fillId="0" borderId="1" xfId="0" applyNumberFormat="1" applyBorder="1"/>
    <xf numFmtId="1" fontId="0" fillId="0" borderId="1" xfId="0" applyNumberFormat="1" applyBorder="1"/>
    <xf numFmtId="0" fontId="0" fillId="7" borderId="2" xfId="0" applyFill="1" applyBorder="1"/>
    <xf numFmtId="15" fontId="0" fillId="3" borderId="1" xfId="0" applyNumberFormat="1" applyFill="1" applyBorder="1"/>
    <xf numFmtId="164" fontId="6" fillId="0" borderId="3" xfId="0" applyNumberFormat="1" applyFont="1" applyBorder="1" applyAlignment="1">
      <alignment horizontal="center" vertical="top" shrinkToFit="1"/>
    </xf>
    <xf numFmtId="165" fontId="6" fillId="0" borderId="3" xfId="0" applyNumberFormat="1" applyFont="1" applyBorder="1" applyAlignment="1">
      <alignment horizontal="left" vertical="top" shrinkToFit="1"/>
    </xf>
    <xf numFmtId="0" fontId="0" fillId="0" borderId="3" xfId="0" applyBorder="1" applyAlignment="1">
      <alignment horizontal="left"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1" fontId="6" fillId="0" borderId="3" xfId="0" applyNumberFormat="1" applyFont="1" applyBorder="1" applyAlignment="1">
      <alignment horizontal="left" vertical="top" shrinkToFit="1"/>
    </xf>
    <xf numFmtId="4" fontId="6" fillId="3" borderId="3" xfId="0" applyNumberFormat="1" applyFont="1" applyFill="1" applyBorder="1" applyAlignment="1">
      <alignment horizontal="right" vertical="top" shrinkToFit="1"/>
    </xf>
    <xf numFmtId="15" fontId="0" fillId="8" borderId="0" xfId="0" applyNumberFormat="1" applyFill="1"/>
    <xf numFmtId="0" fontId="0" fillId="8" borderId="0" xfId="0" applyFill="1"/>
    <xf numFmtId="4" fontId="0" fillId="0" borderId="0" xfId="0" applyNumberFormat="1"/>
    <xf numFmtId="4" fontId="6" fillId="8" borderId="3" xfId="0" applyNumberFormat="1" applyFont="1" applyFill="1" applyBorder="1" applyAlignment="1">
      <alignment horizontal="right" vertical="top" shrinkToFit="1"/>
    </xf>
    <xf numFmtId="2" fontId="6" fillId="8" borderId="3" xfId="0" applyNumberFormat="1" applyFont="1" applyFill="1" applyBorder="1" applyAlignment="1">
      <alignment horizontal="right" vertical="top" shrinkToFit="1"/>
    </xf>
    <xf numFmtId="164" fontId="6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165" fontId="6" fillId="9" borderId="3" xfId="0" applyNumberFormat="1" applyFont="1" applyFill="1" applyBorder="1" applyAlignment="1">
      <alignment horizontal="left" vertical="top" shrinkToFit="1"/>
    </xf>
    <xf numFmtId="2" fontId="6" fillId="9" borderId="3" xfId="0" applyNumberFormat="1" applyFont="1" applyFill="1" applyBorder="1" applyAlignment="1">
      <alignment horizontal="right" vertical="top" shrinkToFit="1"/>
    </xf>
    <xf numFmtId="4" fontId="6" fillId="9" borderId="3" xfId="0" applyNumberFormat="1" applyFont="1" applyFill="1" applyBorder="1" applyAlignment="1">
      <alignment horizontal="right" vertical="top" shrinkToFi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5" fontId="0" fillId="9" borderId="0" xfId="0" applyNumberFormat="1" applyFill="1"/>
    <xf numFmtId="2" fontId="0" fillId="0" borderId="0" xfId="0" applyNumberFormat="1"/>
    <xf numFmtId="166" fontId="6" fillId="0" borderId="3" xfId="0" applyNumberFormat="1" applyFont="1" applyBorder="1" applyAlignment="1">
      <alignment horizontal="left" vertical="top" shrinkToFit="1"/>
    </xf>
    <xf numFmtId="4" fontId="6" fillId="10" borderId="3" xfId="0" applyNumberFormat="1" applyFont="1" applyFill="1" applyBorder="1" applyAlignment="1">
      <alignment horizontal="right" vertical="top" shrinkToFit="1"/>
    </xf>
    <xf numFmtId="15" fontId="0" fillId="11" borderId="0" xfId="0" applyNumberFormat="1" applyFill="1"/>
    <xf numFmtId="0" fontId="0" fillId="10" borderId="0" xfId="0" applyFill="1"/>
    <xf numFmtId="4" fontId="0" fillId="10" borderId="0" xfId="0" applyNumberFormat="1" applyFill="1"/>
    <xf numFmtId="15" fontId="0" fillId="12" borderId="0" xfId="0" applyNumberFormat="1" applyFill="1"/>
    <xf numFmtId="4" fontId="0" fillId="12" borderId="0" xfId="0" applyNumberFormat="1" applyFill="1"/>
    <xf numFmtId="165" fontId="6" fillId="12" borderId="3" xfId="0" applyNumberFormat="1" applyFont="1" applyFill="1" applyBorder="1" applyAlignment="1">
      <alignment horizontal="left" vertical="top" shrinkToFit="1"/>
    </xf>
    <xf numFmtId="4" fontId="6" fillId="12" borderId="3" xfId="0" applyNumberFormat="1" applyFont="1" applyFill="1" applyBorder="1" applyAlignment="1">
      <alignment horizontal="right" vertical="top" shrinkToFit="1"/>
    </xf>
    <xf numFmtId="2" fontId="6" fillId="12" borderId="3" xfId="0" applyNumberFormat="1" applyFont="1" applyFill="1" applyBorder="1" applyAlignment="1">
      <alignment horizontal="right" vertical="top" shrinkToFit="1"/>
    </xf>
    <xf numFmtId="2" fontId="6" fillId="11" borderId="3" xfId="0" applyNumberFormat="1" applyFont="1" applyFill="1" applyBorder="1" applyAlignment="1">
      <alignment horizontal="right" vertical="top" shrinkToFit="1"/>
    </xf>
    <xf numFmtId="4" fontId="6" fillId="11" borderId="3" xfId="0" applyNumberFormat="1" applyFont="1" applyFill="1" applyBorder="1" applyAlignment="1">
      <alignment horizontal="right" vertical="top" shrinkToFit="1"/>
    </xf>
    <xf numFmtId="0" fontId="1" fillId="0" borderId="1" xfId="0" applyFont="1" applyBorder="1"/>
    <xf numFmtId="15" fontId="0" fillId="8" borderId="1" xfId="0" applyNumberFormat="1" applyFill="1" applyBorder="1"/>
    <xf numFmtId="15" fontId="0" fillId="9" borderId="1" xfId="0" applyNumberFormat="1" applyFill="1" applyBorder="1"/>
    <xf numFmtId="15" fontId="0" fillId="2" borderId="1" xfId="0" applyNumberFormat="1" applyFill="1" applyBorder="1"/>
    <xf numFmtId="15" fontId="0" fillId="13" borderId="1" xfId="0" applyNumberForma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3" borderId="1" xfId="0" applyFill="1" applyBorder="1"/>
    <xf numFmtId="10" fontId="0" fillId="0" borderId="0" xfId="0" applyNumberFormat="1"/>
    <xf numFmtId="17" fontId="0" fillId="3" borderId="0" xfId="0" applyNumberFormat="1" applyFill="1"/>
    <xf numFmtId="14" fontId="0" fillId="3" borderId="0" xfId="0" applyNumberFormat="1" applyFill="1"/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 A, Niranjana Datta" id="{E45E1C5B-49A8-4508-8466-C881D9F341B5}" userId="S::ndatta@hpe.com::2c296c5e-9387-438c-8786-b47bbd1bad0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0" dT="2025-02-02T16:19:10.49" personId="{E45E1C5B-49A8-4508-8466-C881D9F341B5}" id="{CBC5DFF3-6983-4660-A52B-2E7A11185622}">
    <text>To Saasu</text>
  </threadedComment>
  <threadedComment ref="O21" dT="2025-02-02T16:19:56.77" personId="{E45E1C5B-49A8-4508-8466-C881D9F341B5}" id="{52644CF9-E1C7-4DBA-9932-411594398899}">
    <text>FD</text>
  </threadedComment>
  <threadedComment ref="H26" dT="2024-08-03T13:19:33.18" personId="{E45E1C5B-49A8-4508-8466-C881D9F341B5}" id="{18A755A4-E79A-4AC2-8388-CD46ECE09B20}">
    <text>PrasannaKumari Paint</text>
  </threadedComment>
  <threadedComment ref="H27" dT="2024-08-03T13:20:28.95" personId="{E45E1C5B-49A8-4508-8466-C881D9F341B5}" id="{981A062A-BDC8-4EC4-B4A1-C97DCC341B7E}">
    <text>Ff rent for june2024</text>
  </threadedComment>
  <threadedComment ref="H28" dT="2024-08-03T13:20:43.85" personId="{E45E1C5B-49A8-4508-8466-C881D9F341B5}" id="{F05CA058-C73B-4BBC-A779-92BEF29E08C4}">
    <text>Shop rent for june2024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banking.indiapost.gov.in/corp/Finacle;jsessionid=0000RapsQKDoL_lCqroYlzxTXT4:185s9fpmp?bwayparam=YaoD7lr%2Fdl6kDkAkrurLes2Jx92yIrK92YFFa3frMTVbhQdHnE6fstALqk3egHpdr585TWVSI4ER0X%2Be4QGsudjK5zY4RIlkrLDjSTKl3FNTO9Q13uzArVxxc4izbs0k%0D%0ApnvGISqy6AzyJ58%2Bdk%2F5cAJc5PZmU0qWy4CIHVXrNCI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6339-6DE1-4EE2-9601-DEF816A5D0D4}">
  <dimension ref="A1:R159"/>
  <sheetViews>
    <sheetView topLeftCell="A117" zoomScale="110" zoomScaleNormal="110" workbookViewId="0">
      <selection activeCell="I152" sqref="I152"/>
    </sheetView>
  </sheetViews>
  <sheetFormatPr defaultRowHeight="14.4"/>
  <cols>
    <col min="2" max="2" width="10.5546875" customWidth="1"/>
    <col min="4" max="4" width="14.88671875" customWidth="1"/>
    <col min="7" max="7" width="10.6640625" customWidth="1"/>
    <col min="10" max="10" width="11.44140625" customWidth="1"/>
    <col min="11" max="11" width="10.88671875" customWidth="1"/>
    <col min="12" max="12" width="8.44140625" bestFit="1" customWidth="1"/>
    <col min="13" max="14" width="9.33203125" bestFit="1" customWidth="1"/>
    <col min="17" max="17" width="11.44140625" customWidth="1"/>
    <col min="18" max="18" width="15.33203125" bestFit="1" customWidth="1"/>
  </cols>
  <sheetData>
    <row r="1" spans="1:18">
      <c r="A1" s="1">
        <v>45461</v>
      </c>
      <c r="C1" s="2">
        <v>45463</v>
      </c>
      <c r="E1" s="2">
        <v>45465</v>
      </c>
      <c r="G1" s="2">
        <v>45467</v>
      </c>
      <c r="I1" s="2">
        <v>45468</v>
      </c>
      <c r="K1" s="2">
        <v>45469</v>
      </c>
      <c r="M1" s="2">
        <v>45470</v>
      </c>
      <c r="O1" s="2">
        <v>45472</v>
      </c>
      <c r="Q1" s="2">
        <v>45473</v>
      </c>
    </row>
    <row r="2" spans="1:18">
      <c r="A2" t="s">
        <v>0</v>
      </c>
      <c r="B2" s="3">
        <v>23</v>
      </c>
      <c r="C2" t="s">
        <v>1</v>
      </c>
      <c r="D2" s="3">
        <v>230</v>
      </c>
      <c r="E2" t="s">
        <v>2</v>
      </c>
      <c r="F2" s="3">
        <v>198</v>
      </c>
      <c r="G2" t="s">
        <v>1</v>
      </c>
      <c r="H2" s="3">
        <v>75</v>
      </c>
      <c r="I2" t="s">
        <v>4</v>
      </c>
      <c r="J2" s="3">
        <v>3165</v>
      </c>
      <c r="K2" t="s">
        <v>9</v>
      </c>
      <c r="L2" s="3">
        <v>50</v>
      </c>
      <c r="M2" t="s">
        <v>16</v>
      </c>
      <c r="N2" s="3">
        <v>2500</v>
      </c>
      <c r="O2" t="s">
        <v>4</v>
      </c>
      <c r="P2" s="3">
        <v>643</v>
      </c>
      <c r="Q2" t="s">
        <v>18</v>
      </c>
      <c r="R2" s="3">
        <v>400</v>
      </c>
    </row>
    <row r="3" spans="1:18">
      <c r="C3" t="s">
        <v>3</v>
      </c>
      <c r="D3" s="3">
        <v>93</v>
      </c>
      <c r="G3" t="s">
        <v>3</v>
      </c>
      <c r="H3" s="3">
        <v>93</v>
      </c>
      <c r="I3" t="s">
        <v>5</v>
      </c>
      <c r="J3" s="3">
        <v>30</v>
      </c>
      <c r="K3" t="s">
        <v>10</v>
      </c>
      <c r="L3" s="3">
        <v>3100</v>
      </c>
      <c r="M3" t="s">
        <v>17</v>
      </c>
      <c r="N3" s="3">
        <v>30</v>
      </c>
    </row>
    <row r="4" spans="1:18">
      <c r="I4" t="s">
        <v>6</v>
      </c>
      <c r="J4" s="3">
        <v>40</v>
      </c>
      <c r="K4" t="s">
        <v>11</v>
      </c>
      <c r="L4" s="3">
        <v>80</v>
      </c>
      <c r="M4" t="s">
        <v>19</v>
      </c>
      <c r="N4" s="3">
        <v>10</v>
      </c>
    </row>
    <row r="5" spans="1:18">
      <c r="I5" t="s">
        <v>3</v>
      </c>
      <c r="J5" s="3">
        <v>180</v>
      </c>
      <c r="K5" t="s">
        <v>12</v>
      </c>
      <c r="L5" s="3">
        <v>200</v>
      </c>
    </row>
    <row r="6" spans="1:18">
      <c r="I6" t="s">
        <v>7</v>
      </c>
      <c r="J6" s="3">
        <v>200</v>
      </c>
      <c r="K6" t="s">
        <v>13</v>
      </c>
      <c r="L6" s="3">
        <v>280</v>
      </c>
    </row>
    <row r="7" spans="1:18">
      <c r="I7" t="s">
        <v>8</v>
      </c>
      <c r="J7" s="3">
        <v>15</v>
      </c>
      <c r="K7" t="s">
        <v>14</v>
      </c>
      <c r="L7" s="3">
        <v>20</v>
      </c>
    </row>
    <row r="8" spans="1:18">
      <c r="K8" t="s">
        <v>15</v>
      </c>
      <c r="L8" s="3">
        <v>300</v>
      </c>
    </row>
    <row r="9" spans="1:18">
      <c r="N9" s="1"/>
    </row>
    <row r="14" spans="1:18">
      <c r="K14">
        <f>SUM(B2,D2,D3,F2,H2,H3,J2,J3,J4,J5,J6,J7,L2:L8,N2:N4,P2,R2)</f>
        <v>11955</v>
      </c>
    </row>
    <row r="16" spans="1:18" ht="28.8">
      <c r="G16" s="4" t="s">
        <v>37</v>
      </c>
      <c r="H16">
        <v>15270</v>
      </c>
    </row>
    <row r="17" spans="1:18">
      <c r="C17" t="s">
        <v>32</v>
      </c>
      <c r="E17" t="s">
        <v>33</v>
      </c>
      <c r="H17" s="5">
        <f>SUM(H18:H21)</f>
        <v>1047715.1</v>
      </c>
      <c r="N17" t="s">
        <v>119</v>
      </c>
    </row>
    <row r="18" spans="1:18">
      <c r="A18" t="s">
        <v>21</v>
      </c>
      <c r="B18" t="s">
        <v>22</v>
      </c>
      <c r="C18" s="6">
        <v>15000</v>
      </c>
      <c r="D18" s="1">
        <v>45483</v>
      </c>
      <c r="E18">
        <v>120000</v>
      </c>
      <c r="G18" t="s">
        <v>28</v>
      </c>
      <c r="H18">
        <v>70248.100000000006</v>
      </c>
      <c r="K18">
        <v>35000</v>
      </c>
      <c r="N18" t="s">
        <v>117</v>
      </c>
      <c r="Q18" t="s">
        <v>118</v>
      </c>
    </row>
    <row r="19" spans="1:18">
      <c r="B19" t="s">
        <v>23</v>
      </c>
      <c r="C19" s="6">
        <v>6000</v>
      </c>
      <c r="D19" s="1">
        <v>45492</v>
      </c>
      <c r="E19">
        <v>40000</v>
      </c>
      <c r="G19" t="s">
        <v>29</v>
      </c>
      <c r="H19">
        <v>586407</v>
      </c>
      <c r="K19">
        <v>10500</v>
      </c>
      <c r="N19" t="s">
        <v>29</v>
      </c>
      <c r="Q19" t="s">
        <v>80</v>
      </c>
    </row>
    <row r="20" spans="1:18">
      <c r="B20" t="s">
        <v>22</v>
      </c>
      <c r="C20">
        <v>15000</v>
      </c>
      <c r="D20" s="1">
        <v>45514</v>
      </c>
      <c r="F20">
        <v>40000</v>
      </c>
      <c r="G20" t="s">
        <v>30</v>
      </c>
      <c r="H20">
        <v>291060</v>
      </c>
      <c r="K20">
        <f>SUM(K18:K19)</f>
        <v>45500</v>
      </c>
      <c r="N20" s="1">
        <v>45548</v>
      </c>
      <c r="O20">
        <v>49000</v>
      </c>
      <c r="Q20" s="1">
        <v>45558</v>
      </c>
      <c r="R20">
        <v>49000</v>
      </c>
    </row>
    <row r="21" spans="1:18">
      <c r="G21" t="s">
        <v>47</v>
      </c>
      <c r="H21">
        <v>100000</v>
      </c>
      <c r="K21">
        <v>-31000</v>
      </c>
      <c r="N21" s="1">
        <v>45972</v>
      </c>
      <c r="O21">
        <v>49000</v>
      </c>
      <c r="Q21" s="1">
        <v>45580</v>
      </c>
      <c r="R21">
        <v>49000</v>
      </c>
    </row>
    <row r="22" spans="1:18">
      <c r="G22" t="s">
        <v>32</v>
      </c>
      <c r="H22">
        <v>72000</v>
      </c>
      <c r="I22" t="s">
        <v>43</v>
      </c>
      <c r="K22">
        <f>SUM(K20:K21)</f>
        <v>14500</v>
      </c>
      <c r="N22" s="1">
        <v>45670</v>
      </c>
      <c r="O22" s="6">
        <v>49500</v>
      </c>
      <c r="Q22" s="1">
        <v>45581</v>
      </c>
      <c r="R22">
        <v>49000</v>
      </c>
    </row>
    <row r="23" spans="1:18">
      <c r="A23" t="s">
        <v>20</v>
      </c>
      <c r="B23" t="s">
        <v>53</v>
      </c>
      <c r="C23" s="14">
        <v>24000</v>
      </c>
      <c r="D23" s="1">
        <v>45484</v>
      </c>
      <c r="E23">
        <v>120000</v>
      </c>
      <c r="N23" s="1">
        <v>45674</v>
      </c>
      <c r="O23" s="6">
        <v>49900</v>
      </c>
      <c r="Q23" s="1">
        <v>45603</v>
      </c>
      <c r="R23">
        <v>11000</v>
      </c>
    </row>
    <row r="24" spans="1:18">
      <c r="A24" t="s">
        <v>24</v>
      </c>
      <c r="B24" t="s">
        <v>25</v>
      </c>
      <c r="C24">
        <v>11500</v>
      </c>
      <c r="D24" s="1">
        <v>45483</v>
      </c>
      <c r="E24">
        <v>120000</v>
      </c>
      <c r="N24" s="1">
        <v>45679</v>
      </c>
      <c r="O24" s="6">
        <v>49000</v>
      </c>
      <c r="Q24" s="1">
        <v>45635</v>
      </c>
      <c r="R24">
        <v>49000</v>
      </c>
    </row>
    <row r="25" spans="1:18">
      <c r="B25" t="s">
        <v>26</v>
      </c>
      <c r="C25">
        <v>12000</v>
      </c>
      <c r="D25" s="1">
        <v>45483</v>
      </c>
      <c r="E25">
        <v>120000</v>
      </c>
      <c r="H25" s="5">
        <f>SUM(H26:H159)</f>
        <v>1010928</v>
      </c>
      <c r="I25">
        <v>-292800</v>
      </c>
      <c r="J25" s="9">
        <v>45383</v>
      </c>
      <c r="K25" s="10">
        <v>38800</v>
      </c>
      <c r="L25" t="s">
        <v>56</v>
      </c>
      <c r="M25" s="1">
        <v>45693</v>
      </c>
      <c r="N25" s="9">
        <v>45693</v>
      </c>
      <c r="O25" s="6">
        <v>49550</v>
      </c>
      <c r="Q25" s="1">
        <v>45636</v>
      </c>
      <c r="R25">
        <v>49000</v>
      </c>
    </row>
    <row r="26" spans="1:18">
      <c r="B26" t="s">
        <v>27</v>
      </c>
      <c r="C26">
        <v>11500</v>
      </c>
      <c r="D26" s="1">
        <v>45483</v>
      </c>
      <c r="E26">
        <v>120000</v>
      </c>
      <c r="G26" t="s">
        <v>38</v>
      </c>
      <c r="H26" s="7">
        <v>15270</v>
      </c>
      <c r="J26" s="9">
        <v>45413</v>
      </c>
      <c r="K26" s="10">
        <v>38800</v>
      </c>
      <c r="L26" t="s">
        <v>56</v>
      </c>
      <c r="M26" s="1">
        <v>45698</v>
      </c>
      <c r="N26" s="9" t="s">
        <v>125</v>
      </c>
      <c r="O26" s="6">
        <v>-50011</v>
      </c>
      <c r="Q26" s="1">
        <v>45638</v>
      </c>
      <c r="R26">
        <v>49000</v>
      </c>
    </row>
    <row r="27" spans="1:18">
      <c r="B27" t="s">
        <v>31</v>
      </c>
      <c r="C27">
        <v>-10000</v>
      </c>
      <c r="G27" t="s">
        <v>39</v>
      </c>
      <c r="H27" s="7">
        <v>15000</v>
      </c>
      <c r="J27" s="9">
        <v>45444</v>
      </c>
      <c r="K27" s="6">
        <v>38800</v>
      </c>
      <c r="L27" t="s">
        <v>57</v>
      </c>
      <c r="M27" s="1">
        <v>45699</v>
      </c>
      <c r="N27" t="s">
        <v>126</v>
      </c>
      <c r="O27" s="6">
        <v>40000</v>
      </c>
      <c r="Q27" s="1">
        <v>45668</v>
      </c>
      <c r="R27">
        <v>49000</v>
      </c>
    </row>
    <row r="28" spans="1:18">
      <c r="A28" t="s">
        <v>24</v>
      </c>
      <c r="B28" t="s">
        <v>25</v>
      </c>
      <c r="C28">
        <v>11500</v>
      </c>
      <c r="D28" s="1">
        <v>45514</v>
      </c>
      <c r="G28" t="s">
        <v>40</v>
      </c>
      <c r="H28" s="7">
        <v>6000</v>
      </c>
      <c r="J28" s="9">
        <v>45474</v>
      </c>
      <c r="K28" s="6">
        <v>38800</v>
      </c>
      <c r="L28" t="s">
        <v>57</v>
      </c>
      <c r="M28" s="1">
        <v>45705</v>
      </c>
      <c r="N28" t="s">
        <v>131</v>
      </c>
      <c r="O28" s="6">
        <v>-49000</v>
      </c>
      <c r="Q28" s="1">
        <v>45669</v>
      </c>
      <c r="R28">
        <v>49000</v>
      </c>
    </row>
    <row r="29" spans="1:18">
      <c r="B29" t="s">
        <v>27</v>
      </c>
      <c r="C29">
        <v>11500</v>
      </c>
      <c r="D29" s="1">
        <v>45514</v>
      </c>
      <c r="G29" t="s">
        <v>34</v>
      </c>
      <c r="H29" s="8">
        <v>-620</v>
      </c>
      <c r="J29" s="9">
        <v>45505</v>
      </c>
      <c r="K29" s="6">
        <v>38800</v>
      </c>
      <c r="L29" t="s">
        <v>57</v>
      </c>
      <c r="M29" s="1">
        <v>45717</v>
      </c>
      <c r="N29" t="s">
        <v>126</v>
      </c>
      <c r="O29" s="6">
        <v>50000</v>
      </c>
    </row>
    <row r="30" spans="1:18">
      <c r="B30" t="s">
        <v>48</v>
      </c>
      <c r="C30">
        <v>12000</v>
      </c>
      <c r="D30" t="s">
        <v>49</v>
      </c>
      <c r="G30" t="s">
        <v>35</v>
      </c>
      <c r="H30" s="14">
        <v>-100</v>
      </c>
      <c r="J30" s="9">
        <v>45536</v>
      </c>
      <c r="K30" s="6">
        <v>38800</v>
      </c>
      <c r="L30" t="s">
        <v>57</v>
      </c>
      <c r="N30" t="s">
        <v>132</v>
      </c>
      <c r="O30" s="6">
        <v>-2000</v>
      </c>
      <c r="Q30" t="s">
        <v>123</v>
      </c>
    </row>
    <row r="31" spans="1:18">
      <c r="B31" t="s">
        <v>53</v>
      </c>
      <c r="C31" s="14">
        <v>12000</v>
      </c>
      <c r="D31" s="1">
        <v>45535</v>
      </c>
      <c r="G31" t="s">
        <v>36</v>
      </c>
      <c r="H31" s="8">
        <v>-1220</v>
      </c>
      <c r="J31" s="9">
        <v>45566</v>
      </c>
      <c r="K31" s="6">
        <v>38800</v>
      </c>
      <c r="L31" t="s">
        <v>57</v>
      </c>
      <c r="N31" t="s">
        <v>126</v>
      </c>
      <c r="O31" s="6">
        <v>45000</v>
      </c>
      <c r="Q31" s="2">
        <v>45913</v>
      </c>
      <c r="R31">
        <v>10</v>
      </c>
    </row>
    <row r="32" spans="1:18">
      <c r="A32" t="s">
        <v>24</v>
      </c>
      <c r="B32" t="s">
        <v>26</v>
      </c>
      <c r="C32">
        <v>12000</v>
      </c>
      <c r="D32" s="1">
        <v>45510</v>
      </c>
      <c r="G32" t="s">
        <v>34</v>
      </c>
      <c r="H32" s="8">
        <v>-150</v>
      </c>
      <c r="J32" s="9">
        <v>45597</v>
      </c>
      <c r="K32" s="6">
        <v>38800</v>
      </c>
      <c r="L32" t="s">
        <v>57</v>
      </c>
      <c r="O32">
        <f>SUM(O22:O31)</f>
        <v>231939</v>
      </c>
      <c r="Q32" s="2">
        <v>45913</v>
      </c>
      <c r="R32">
        <v>10000</v>
      </c>
    </row>
    <row r="33" spans="2:18">
      <c r="B33" t="s">
        <v>25</v>
      </c>
      <c r="C33">
        <v>11500</v>
      </c>
      <c r="D33" s="1">
        <v>45545</v>
      </c>
      <c r="G33" t="s">
        <v>41</v>
      </c>
      <c r="H33" s="14">
        <v>-11450</v>
      </c>
      <c r="J33" s="9">
        <v>45627</v>
      </c>
      <c r="K33" s="6">
        <v>38800</v>
      </c>
      <c r="L33" t="s">
        <v>57</v>
      </c>
      <c r="N33" t="s">
        <v>150</v>
      </c>
      <c r="O33" s="6">
        <v>-53000</v>
      </c>
      <c r="Q33" s="2">
        <v>45913</v>
      </c>
      <c r="R33">
        <v>20</v>
      </c>
    </row>
    <row r="34" spans="2:18">
      <c r="B34" t="s">
        <v>27</v>
      </c>
      <c r="C34">
        <v>11500</v>
      </c>
      <c r="D34" s="1">
        <v>45546</v>
      </c>
      <c r="G34" t="s">
        <v>42</v>
      </c>
      <c r="H34" s="14">
        <v>-6500</v>
      </c>
      <c r="J34" s="9">
        <v>45658</v>
      </c>
      <c r="K34">
        <v>38800</v>
      </c>
      <c r="L34" t="s">
        <v>57</v>
      </c>
      <c r="N34" s="9">
        <v>45778</v>
      </c>
      <c r="O34" s="6">
        <v>-1500</v>
      </c>
      <c r="Q34" s="2">
        <v>45913</v>
      </c>
      <c r="R34">
        <v>38000</v>
      </c>
    </row>
    <row r="35" spans="2:18">
      <c r="B35" t="s">
        <v>31</v>
      </c>
      <c r="C35">
        <v>-10000</v>
      </c>
      <c r="D35" s="1">
        <v>45547</v>
      </c>
      <c r="G35" t="s">
        <v>46</v>
      </c>
      <c r="H35" s="14">
        <v>-90</v>
      </c>
      <c r="J35" s="9">
        <v>45689</v>
      </c>
      <c r="K35">
        <v>38800</v>
      </c>
      <c r="L35" t="s">
        <v>57</v>
      </c>
      <c r="O35">
        <f>SUM(O32:O34)</f>
        <v>177439</v>
      </c>
      <c r="Q35" s="1">
        <v>45548</v>
      </c>
      <c r="R35">
        <v>970</v>
      </c>
    </row>
    <row r="36" spans="2:18">
      <c r="B36" t="s">
        <v>26</v>
      </c>
      <c r="C36">
        <v>12000</v>
      </c>
      <c r="D36" s="1">
        <v>45575</v>
      </c>
      <c r="G36" t="s">
        <v>44</v>
      </c>
      <c r="H36" s="7">
        <v>15000</v>
      </c>
      <c r="J36" s="9">
        <v>45717</v>
      </c>
      <c r="K36">
        <v>38800</v>
      </c>
      <c r="L36" t="s">
        <v>57</v>
      </c>
      <c r="N36" t="s">
        <v>131</v>
      </c>
      <c r="O36" s="6">
        <v>-50000</v>
      </c>
      <c r="Q36" s="1">
        <v>45555</v>
      </c>
      <c r="R36">
        <v>120000</v>
      </c>
    </row>
    <row r="37" spans="2:18">
      <c r="B37" t="s">
        <v>25</v>
      </c>
      <c r="C37">
        <v>11500</v>
      </c>
      <c r="D37" s="1">
        <v>45575</v>
      </c>
      <c r="G37" t="s">
        <v>45</v>
      </c>
      <c r="H37" s="7">
        <v>6000</v>
      </c>
      <c r="J37">
        <v>700000</v>
      </c>
      <c r="K37">
        <f>SUM(K27:K36)</f>
        <v>388000</v>
      </c>
      <c r="L37">
        <f>J37-K37</f>
        <v>312000</v>
      </c>
      <c r="O37">
        <f>SUM(O35:O36)</f>
        <v>127439</v>
      </c>
      <c r="Q37" s="1">
        <v>45603</v>
      </c>
      <c r="R37">
        <v>88000</v>
      </c>
    </row>
    <row r="38" spans="2:18">
      <c r="B38" t="s">
        <v>27</v>
      </c>
      <c r="C38">
        <v>11500</v>
      </c>
      <c r="D38" s="1">
        <v>45575</v>
      </c>
      <c r="G38" t="s">
        <v>51</v>
      </c>
      <c r="H38" s="7">
        <v>15000</v>
      </c>
      <c r="N38" t="s">
        <v>173</v>
      </c>
      <c r="O38" s="6">
        <v>-1100</v>
      </c>
      <c r="Q38" s="1">
        <v>45635</v>
      </c>
      <c r="R38">
        <v>2000</v>
      </c>
    </row>
    <row r="39" spans="2:18">
      <c r="B39" t="s">
        <v>53</v>
      </c>
      <c r="C39" s="14">
        <v>24000</v>
      </c>
      <c r="D39" s="1">
        <v>45603</v>
      </c>
      <c r="G39" t="s">
        <v>50</v>
      </c>
      <c r="H39" s="7">
        <v>15000</v>
      </c>
      <c r="O39">
        <f>SUM(O37:O38)</f>
        <v>126339</v>
      </c>
      <c r="Q39" s="1">
        <v>45668</v>
      </c>
      <c r="R39">
        <v>50000</v>
      </c>
    </row>
    <row r="40" spans="2:18">
      <c r="B40" t="s">
        <v>26</v>
      </c>
      <c r="C40">
        <v>12000</v>
      </c>
      <c r="D40" s="1">
        <v>45607</v>
      </c>
      <c r="G40" t="s">
        <v>52</v>
      </c>
      <c r="H40" s="7">
        <v>6000</v>
      </c>
      <c r="N40" t="s">
        <v>186</v>
      </c>
      <c r="O40">
        <v>-54530</v>
      </c>
      <c r="Q40" s="1">
        <v>45677</v>
      </c>
      <c r="R40">
        <v>50000</v>
      </c>
    </row>
    <row r="41" spans="2:18">
      <c r="B41" t="s">
        <v>25</v>
      </c>
      <c r="C41">
        <v>11500</v>
      </c>
      <c r="D41" s="1">
        <v>45607</v>
      </c>
      <c r="G41" t="s">
        <v>54</v>
      </c>
      <c r="H41">
        <v>-60</v>
      </c>
      <c r="O41">
        <v>-1748</v>
      </c>
      <c r="Q41" s="1">
        <v>45677</v>
      </c>
      <c r="R41">
        <v>50000</v>
      </c>
    </row>
    <row r="42" spans="2:18">
      <c r="B42" t="s">
        <v>27</v>
      </c>
      <c r="C42">
        <v>11500</v>
      </c>
      <c r="D42" s="1">
        <v>45607</v>
      </c>
      <c r="G42" t="s">
        <v>55</v>
      </c>
      <c r="H42" s="14">
        <v>-404</v>
      </c>
      <c r="N42">
        <v>190262</v>
      </c>
      <c r="O42">
        <f>SUM(O39:O41)</f>
        <v>70061</v>
      </c>
    </row>
    <row r="43" spans="2:18">
      <c r="B43" t="s">
        <v>25</v>
      </c>
      <c r="C43">
        <v>11500</v>
      </c>
      <c r="D43" s="1">
        <v>45635</v>
      </c>
      <c r="G43" t="s">
        <v>58</v>
      </c>
      <c r="H43" s="7">
        <v>15000</v>
      </c>
      <c r="I43" s="11"/>
      <c r="J43" s="11"/>
      <c r="K43" s="11"/>
      <c r="N43" t="s">
        <v>196</v>
      </c>
      <c r="O43">
        <v>-17260</v>
      </c>
    </row>
    <row r="44" spans="2:18" ht="22.2">
      <c r="B44" t="s">
        <v>26</v>
      </c>
      <c r="C44">
        <v>12000</v>
      </c>
      <c r="D44" s="1">
        <v>45636</v>
      </c>
      <c r="G44" s="13" t="s">
        <v>84</v>
      </c>
      <c r="H44">
        <v>-3500</v>
      </c>
      <c r="I44" s="11"/>
      <c r="J44" s="11"/>
      <c r="K44" s="11"/>
      <c r="L44">
        <v>15000</v>
      </c>
      <c r="M44">
        <v>3636</v>
      </c>
      <c r="N44">
        <v>789</v>
      </c>
      <c r="O44">
        <f>1126*0.6</f>
        <v>675.6</v>
      </c>
      <c r="Q44" t="s">
        <v>178</v>
      </c>
      <c r="R44" t="s">
        <v>179</v>
      </c>
    </row>
    <row r="45" spans="2:18">
      <c r="B45" t="s">
        <v>27</v>
      </c>
      <c r="C45">
        <v>11500</v>
      </c>
      <c r="D45" s="1">
        <v>45636</v>
      </c>
      <c r="G45" t="s">
        <v>82</v>
      </c>
      <c r="H45">
        <v>-978</v>
      </c>
      <c r="I45" s="11"/>
      <c r="J45" s="11"/>
      <c r="K45" s="11"/>
      <c r="O45">
        <f>1126*0.4</f>
        <v>450.40000000000003</v>
      </c>
      <c r="Q45" s="1">
        <v>45817</v>
      </c>
      <c r="R45">
        <v>50000</v>
      </c>
    </row>
    <row r="46" spans="2:18">
      <c r="B46" t="s">
        <v>26</v>
      </c>
      <c r="C46">
        <v>12000</v>
      </c>
      <c r="D46" s="1">
        <v>45663</v>
      </c>
      <c r="G46" t="s">
        <v>83</v>
      </c>
      <c r="H46" s="14">
        <v>-2300</v>
      </c>
      <c r="I46" s="11"/>
      <c r="J46" s="11"/>
      <c r="K46" s="11"/>
      <c r="O46">
        <f>SUM(O44:O45)</f>
        <v>1126</v>
      </c>
      <c r="Q46" s="1">
        <v>45822</v>
      </c>
      <c r="R46">
        <v>70000</v>
      </c>
    </row>
    <row r="47" spans="2:18">
      <c r="B47" t="s">
        <v>53</v>
      </c>
      <c r="C47" s="14">
        <v>12000</v>
      </c>
      <c r="D47" s="1">
        <v>45692</v>
      </c>
      <c r="G47" t="s">
        <v>59</v>
      </c>
      <c r="H47" s="7">
        <v>6000</v>
      </c>
      <c r="I47" s="11"/>
      <c r="J47" s="11"/>
      <c r="K47" s="11"/>
      <c r="Q47" t="s">
        <v>183</v>
      </c>
      <c r="R47">
        <v>40000</v>
      </c>
    </row>
    <row r="48" spans="2:18">
      <c r="B48" t="s">
        <v>25</v>
      </c>
      <c r="C48">
        <v>11500</v>
      </c>
      <c r="D48" s="1">
        <v>45698</v>
      </c>
      <c r="G48" t="s">
        <v>60</v>
      </c>
      <c r="H48" s="7">
        <v>15000</v>
      </c>
    </row>
    <row r="49" spans="2:18">
      <c r="B49" t="s">
        <v>26</v>
      </c>
      <c r="C49">
        <v>12000</v>
      </c>
      <c r="D49" s="1">
        <v>45697</v>
      </c>
      <c r="G49" t="s">
        <v>91</v>
      </c>
      <c r="H49">
        <v>-200</v>
      </c>
      <c r="I49" s="12"/>
      <c r="O49">
        <v>17000</v>
      </c>
    </row>
    <row r="50" spans="2:18">
      <c r="B50" t="s">
        <v>27</v>
      </c>
      <c r="C50">
        <v>11500</v>
      </c>
      <c r="D50" s="1">
        <v>45699</v>
      </c>
      <c r="G50" t="s">
        <v>85</v>
      </c>
      <c r="H50">
        <v>15000</v>
      </c>
      <c r="O50">
        <v>15000</v>
      </c>
      <c r="Q50">
        <v>163600</v>
      </c>
    </row>
    <row r="51" spans="2:18">
      <c r="B51" t="s">
        <v>53</v>
      </c>
      <c r="C51" s="14">
        <v>12000</v>
      </c>
      <c r="D51" s="1">
        <v>45716</v>
      </c>
      <c r="G51" t="s">
        <v>86</v>
      </c>
      <c r="H51" s="7">
        <v>14075</v>
      </c>
      <c r="O51">
        <v>7000</v>
      </c>
      <c r="Q51">
        <v>8559</v>
      </c>
    </row>
    <row r="52" spans="2:18">
      <c r="B52" t="s">
        <v>25</v>
      </c>
      <c r="C52">
        <v>11500</v>
      </c>
      <c r="D52" s="1">
        <v>45727</v>
      </c>
      <c r="G52" t="s">
        <v>87</v>
      </c>
      <c r="H52">
        <v>6000</v>
      </c>
      <c r="O52">
        <v>14000</v>
      </c>
      <c r="Q52">
        <f>SUM(Q50:Q51)</f>
        <v>172159</v>
      </c>
      <c r="R52">
        <v>174036</v>
      </c>
    </row>
    <row r="53" spans="2:18">
      <c r="B53" t="s">
        <v>26</v>
      </c>
      <c r="C53">
        <v>12000</v>
      </c>
      <c r="D53" s="1">
        <v>45727</v>
      </c>
      <c r="G53" t="s">
        <v>92</v>
      </c>
      <c r="H53" s="14">
        <v>-635</v>
      </c>
      <c r="K53" s="5">
        <v>30000</v>
      </c>
      <c r="O53">
        <v>14000</v>
      </c>
      <c r="R53">
        <f>R52-Q52</f>
        <v>1877</v>
      </c>
    </row>
    <row r="54" spans="2:18">
      <c r="B54" s="9" t="s">
        <v>133</v>
      </c>
      <c r="C54">
        <v>12080</v>
      </c>
      <c r="D54" s="1">
        <v>45728</v>
      </c>
      <c r="G54" t="s">
        <v>46</v>
      </c>
      <c r="H54">
        <v>-360</v>
      </c>
      <c r="J54" t="s">
        <v>81</v>
      </c>
      <c r="K54">
        <v>-3060</v>
      </c>
    </row>
    <row r="55" spans="2:18">
      <c r="B55" s="9" t="s">
        <v>53</v>
      </c>
      <c r="C55" s="14">
        <v>12000</v>
      </c>
      <c r="D55" s="1">
        <v>45751</v>
      </c>
      <c r="G55" t="s">
        <v>93</v>
      </c>
      <c r="H55">
        <v>-125</v>
      </c>
      <c r="J55" t="s">
        <v>90</v>
      </c>
      <c r="K55">
        <v>-9000</v>
      </c>
      <c r="O55" s="5">
        <f>SUM(O56:O63)</f>
        <v>-11795</v>
      </c>
    </row>
    <row r="56" spans="2:18">
      <c r="B56" t="s">
        <v>25</v>
      </c>
      <c r="C56">
        <v>11500</v>
      </c>
      <c r="G56" t="s">
        <v>94</v>
      </c>
      <c r="H56">
        <v>-125</v>
      </c>
      <c r="K56" s="5">
        <f>SUM(K53:K55)</f>
        <v>17940</v>
      </c>
      <c r="N56" t="s">
        <v>98</v>
      </c>
      <c r="O56">
        <v>-100</v>
      </c>
    </row>
    <row r="57" spans="2:18">
      <c r="B57" t="s">
        <v>26</v>
      </c>
      <c r="C57">
        <v>12000</v>
      </c>
      <c r="G57" s="13" t="s">
        <v>96</v>
      </c>
      <c r="H57">
        <v>-3200</v>
      </c>
      <c r="K57">
        <v>-5340</v>
      </c>
      <c r="N57" t="s">
        <v>99</v>
      </c>
      <c r="O57">
        <v>-5000</v>
      </c>
    </row>
    <row r="58" spans="2:18">
      <c r="B58" s="9" t="s">
        <v>133</v>
      </c>
      <c r="C58">
        <v>12070</v>
      </c>
      <c r="G58" t="s">
        <v>101</v>
      </c>
      <c r="H58">
        <v>-682</v>
      </c>
      <c r="K58">
        <v>-5100</v>
      </c>
      <c r="N58" t="s">
        <v>81</v>
      </c>
      <c r="O58">
        <v>-2790</v>
      </c>
    </row>
    <row r="59" spans="2:18">
      <c r="B59" s="9" t="s">
        <v>53</v>
      </c>
      <c r="C59" s="14">
        <v>12000</v>
      </c>
      <c r="D59" s="1">
        <v>45778</v>
      </c>
      <c r="G59" t="s">
        <v>102</v>
      </c>
      <c r="H59">
        <v>-100</v>
      </c>
      <c r="K59">
        <v>-6000</v>
      </c>
      <c r="N59" t="s">
        <v>100</v>
      </c>
      <c r="O59">
        <v>-1200</v>
      </c>
      <c r="R59">
        <f>97204*0.4</f>
        <v>38881.599999999999</v>
      </c>
    </row>
    <row r="60" spans="2:18">
      <c r="B60" s="9" t="s">
        <v>151</v>
      </c>
      <c r="C60">
        <v>6500</v>
      </c>
      <c r="D60" s="1">
        <v>45780</v>
      </c>
      <c r="G60" t="s">
        <v>97</v>
      </c>
      <c r="H60">
        <v>-400</v>
      </c>
      <c r="K60" s="5">
        <f>SUM(K56:K59)</f>
        <v>1500</v>
      </c>
      <c r="N60" t="s">
        <v>81</v>
      </c>
      <c r="O60">
        <v>-340</v>
      </c>
    </row>
    <row r="61" spans="2:18">
      <c r="B61" s="9" t="s">
        <v>26</v>
      </c>
      <c r="C61">
        <v>12000</v>
      </c>
      <c r="D61" s="1">
        <v>45785</v>
      </c>
      <c r="G61" t="s">
        <v>98</v>
      </c>
      <c r="H61">
        <v>-100</v>
      </c>
      <c r="N61" t="s">
        <v>81</v>
      </c>
      <c r="O61">
        <v>-880</v>
      </c>
    </row>
    <row r="62" spans="2:18">
      <c r="B62" s="9" t="s">
        <v>25</v>
      </c>
      <c r="C62">
        <v>12000</v>
      </c>
      <c r="D62" s="1">
        <v>45787</v>
      </c>
      <c r="G62" t="s">
        <v>99</v>
      </c>
      <c r="H62">
        <v>-5000</v>
      </c>
      <c r="N62" t="s">
        <v>81</v>
      </c>
      <c r="O62">
        <v>-940</v>
      </c>
    </row>
    <row r="63" spans="2:18">
      <c r="B63" s="9" t="s">
        <v>27</v>
      </c>
      <c r="C63">
        <v>12100</v>
      </c>
      <c r="G63" t="s">
        <v>81</v>
      </c>
      <c r="H63">
        <v>-2790</v>
      </c>
      <c r="J63">
        <v>3507</v>
      </c>
      <c r="N63" t="s">
        <v>81</v>
      </c>
      <c r="O63">
        <v>-545</v>
      </c>
    </row>
    <row r="64" spans="2:18">
      <c r="B64" s="9" t="s">
        <v>151</v>
      </c>
      <c r="C64">
        <v>6500</v>
      </c>
      <c r="D64" s="2">
        <v>45811</v>
      </c>
      <c r="G64" t="s">
        <v>100</v>
      </c>
      <c r="H64">
        <v>-1200</v>
      </c>
      <c r="J64" t="s">
        <v>20</v>
      </c>
      <c r="N64" t="s">
        <v>81</v>
      </c>
      <c r="O64">
        <v>-50</v>
      </c>
    </row>
    <row r="65" spans="2:18">
      <c r="B65" s="9" t="s">
        <v>26</v>
      </c>
      <c r="C65">
        <v>12000</v>
      </c>
      <c r="D65" s="2">
        <v>45822</v>
      </c>
      <c r="G65" t="s">
        <v>81</v>
      </c>
      <c r="H65">
        <v>-340</v>
      </c>
      <c r="K65" s="1">
        <v>45548</v>
      </c>
      <c r="L65">
        <v>10</v>
      </c>
      <c r="N65" t="s">
        <v>99</v>
      </c>
      <c r="O65">
        <v>-2000</v>
      </c>
    </row>
    <row r="66" spans="2:18">
      <c r="B66" s="9" t="s">
        <v>25</v>
      </c>
      <c r="C66">
        <v>12000</v>
      </c>
      <c r="D66" s="2">
        <v>45818</v>
      </c>
      <c r="G66" t="s">
        <v>81</v>
      </c>
      <c r="H66">
        <v>-880</v>
      </c>
      <c r="K66" s="1">
        <v>45548</v>
      </c>
      <c r="L66">
        <v>10000</v>
      </c>
    </row>
    <row r="67" spans="2:18">
      <c r="B67" s="9" t="s">
        <v>27</v>
      </c>
      <c r="C67">
        <v>12100</v>
      </c>
      <c r="D67" s="2">
        <v>45818</v>
      </c>
      <c r="G67" t="s">
        <v>81</v>
      </c>
      <c r="H67">
        <v>-940</v>
      </c>
      <c r="K67" s="1">
        <v>45548</v>
      </c>
      <c r="L67">
        <v>20</v>
      </c>
      <c r="N67" s="9">
        <v>45383</v>
      </c>
      <c r="R67">
        <v>349200</v>
      </c>
    </row>
    <row r="68" spans="2:18">
      <c r="B68" s="9" t="s">
        <v>53</v>
      </c>
      <c r="C68" s="14">
        <v>12000</v>
      </c>
      <c r="D68" s="1">
        <v>45832</v>
      </c>
      <c r="G68" t="s">
        <v>81</v>
      </c>
      <c r="H68">
        <v>-545</v>
      </c>
      <c r="K68" s="1">
        <v>45548</v>
      </c>
      <c r="L68">
        <v>38000</v>
      </c>
      <c r="N68" s="9">
        <v>45413</v>
      </c>
      <c r="O68" s="15">
        <v>38800</v>
      </c>
      <c r="P68" t="s">
        <v>105</v>
      </c>
    </row>
    <row r="69" spans="2:18">
      <c r="B69" s="9" t="s">
        <v>151</v>
      </c>
      <c r="C69">
        <v>6250</v>
      </c>
      <c r="G69" t="s">
        <v>81</v>
      </c>
      <c r="H69">
        <v>-120</v>
      </c>
      <c r="K69" s="1">
        <v>45548</v>
      </c>
      <c r="L69">
        <v>970</v>
      </c>
      <c r="N69" s="9">
        <v>45444</v>
      </c>
      <c r="O69" s="15">
        <v>38800</v>
      </c>
      <c r="P69" t="s">
        <v>105</v>
      </c>
    </row>
    <row r="70" spans="2:18">
      <c r="B70" s="9" t="s">
        <v>26</v>
      </c>
      <c r="C70">
        <v>12000</v>
      </c>
      <c r="D70" s="2">
        <v>45848</v>
      </c>
      <c r="G70" t="s">
        <v>103</v>
      </c>
      <c r="H70">
        <v>15000</v>
      </c>
      <c r="K70" s="1">
        <v>45555</v>
      </c>
      <c r="L70">
        <v>120000</v>
      </c>
      <c r="N70" s="9">
        <v>45474</v>
      </c>
      <c r="O70" s="5">
        <v>38800</v>
      </c>
      <c r="P70" t="s">
        <v>106</v>
      </c>
    </row>
    <row r="71" spans="2:18">
      <c r="B71" s="9" t="s">
        <v>25</v>
      </c>
      <c r="C71">
        <v>12000</v>
      </c>
      <c r="D71" s="2">
        <v>45848</v>
      </c>
      <c r="G71" t="s">
        <v>104</v>
      </c>
      <c r="H71">
        <v>8000</v>
      </c>
      <c r="K71" s="1">
        <v>45603</v>
      </c>
      <c r="L71">
        <v>88000</v>
      </c>
      <c r="N71" s="9">
        <v>45505</v>
      </c>
      <c r="O71" s="5">
        <v>38800</v>
      </c>
    </row>
    <row r="72" spans="2:18">
      <c r="B72" s="9" t="s">
        <v>27</v>
      </c>
      <c r="C72">
        <v>12000</v>
      </c>
      <c r="D72" s="2">
        <v>45848</v>
      </c>
      <c r="G72" t="s">
        <v>110</v>
      </c>
      <c r="H72">
        <v>-200</v>
      </c>
      <c r="K72" s="1">
        <v>45668</v>
      </c>
      <c r="L72">
        <v>50000</v>
      </c>
      <c r="N72" s="9">
        <v>45536</v>
      </c>
      <c r="O72" s="5">
        <v>38800</v>
      </c>
    </row>
    <row r="73" spans="2:18">
      <c r="B73" s="9" t="s">
        <v>53</v>
      </c>
      <c r="C73" s="14">
        <v>10000</v>
      </c>
      <c r="D73" s="2">
        <v>45871</v>
      </c>
      <c r="G73" t="s">
        <v>111</v>
      </c>
      <c r="H73">
        <v>15000</v>
      </c>
      <c r="K73" s="1">
        <v>45676</v>
      </c>
      <c r="L73">
        <v>100000</v>
      </c>
      <c r="N73" s="9">
        <v>45566</v>
      </c>
      <c r="O73" s="5">
        <v>38800</v>
      </c>
    </row>
    <row r="74" spans="2:18">
      <c r="B74" s="9" t="s">
        <v>26</v>
      </c>
      <c r="C74">
        <v>12000</v>
      </c>
      <c r="D74" s="2">
        <v>45879</v>
      </c>
      <c r="G74" t="s">
        <v>112</v>
      </c>
      <c r="H74">
        <v>7000</v>
      </c>
      <c r="N74" s="9">
        <v>45627</v>
      </c>
      <c r="O74" s="5">
        <v>38800</v>
      </c>
    </row>
    <row r="75" spans="2:18">
      <c r="B75" s="9" t="s">
        <v>25</v>
      </c>
      <c r="C75">
        <v>12100</v>
      </c>
      <c r="D75" s="2">
        <v>45879</v>
      </c>
      <c r="G75" t="s">
        <v>113</v>
      </c>
      <c r="H75">
        <v>13500</v>
      </c>
      <c r="L75">
        <f>SUM(L65:L74)</f>
        <v>407000</v>
      </c>
      <c r="N75" s="9">
        <v>45658</v>
      </c>
      <c r="O75" s="5">
        <v>38800</v>
      </c>
    </row>
    <row r="76" spans="2:18">
      <c r="B76" s="9" t="s">
        <v>27</v>
      </c>
      <c r="C76">
        <v>12000</v>
      </c>
      <c r="D76" s="2">
        <v>45879</v>
      </c>
      <c r="F76" t="s">
        <v>20</v>
      </c>
      <c r="G76" t="s">
        <v>115</v>
      </c>
      <c r="H76">
        <v>-1250</v>
      </c>
      <c r="K76" t="s">
        <v>236</v>
      </c>
      <c r="L76" t="s">
        <v>23</v>
      </c>
      <c r="M76" t="s">
        <v>237</v>
      </c>
      <c r="N76" s="9">
        <v>45689</v>
      </c>
      <c r="O76">
        <v>38800</v>
      </c>
    </row>
    <row r="77" spans="2:18">
      <c r="G77" t="s">
        <v>115</v>
      </c>
      <c r="H77">
        <v>-1750</v>
      </c>
      <c r="J77" s="9">
        <v>45352</v>
      </c>
      <c r="N77" s="9">
        <v>45717</v>
      </c>
      <c r="O77">
        <v>38800</v>
      </c>
    </row>
    <row r="78" spans="2:18">
      <c r="G78" t="s">
        <v>120</v>
      </c>
      <c r="H78">
        <v>-325</v>
      </c>
      <c r="J78" s="9">
        <v>45383</v>
      </c>
      <c r="O78">
        <v>38800</v>
      </c>
    </row>
    <row r="79" spans="2:18">
      <c r="C79">
        <f>SUM(C80:C91)</f>
        <v>130000</v>
      </c>
      <c r="G79" s="16" t="s">
        <v>137</v>
      </c>
      <c r="H79">
        <v>15000</v>
      </c>
      <c r="J79" s="9">
        <v>45413</v>
      </c>
    </row>
    <row r="80" spans="2:18">
      <c r="C80" s="17">
        <v>24000</v>
      </c>
      <c r="D80" s="18">
        <v>45484</v>
      </c>
      <c r="G80" t="s">
        <v>121</v>
      </c>
      <c r="H80">
        <v>13500</v>
      </c>
      <c r="J80" s="9">
        <v>45444</v>
      </c>
      <c r="L80">
        <v>6000</v>
      </c>
      <c r="N80">
        <v>700000</v>
      </c>
      <c r="O80">
        <f>SUM(O68:O79)</f>
        <v>426800</v>
      </c>
      <c r="P80">
        <f>N80-O80</f>
        <v>273200</v>
      </c>
      <c r="Q80">
        <f>P80/12</f>
        <v>22766.666666666668</v>
      </c>
    </row>
    <row r="81" spans="3:14">
      <c r="C81" s="17">
        <v>12000</v>
      </c>
      <c r="D81" s="18">
        <v>45535</v>
      </c>
      <c r="G81" t="s">
        <v>122</v>
      </c>
      <c r="H81">
        <v>7000</v>
      </c>
      <c r="J81" s="9">
        <v>45474</v>
      </c>
      <c r="L81">
        <v>6000</v>
      </c>
    </row>
    <row r="82" spans="3:14">
      <c r="C82" s="17">
        <v>24000</v>
      </c>
      <c r="D82" s="18">
        <v>45603</v>
      </c>
      <c r="G82" t="s">
        <v>128</v>
      </c>
      <c r="H82">
        <v>-600</v>
      </c>
      <c r="J82" s="9">
        <v>45505</v>
      </c>
      <c r="K82">
        <v>15000</v>
      </c>
      <c r="L82">
        <v>6000</v>
      </c>
      <c r="M82">
        <v>15000</v>
      </c>
    </row>
    <row r="83" spans="3:14">
      <c r="C83" s="17">
        <v>12000</v>
      </c>
      <c r="D83" s="18">
        <v>45692</v>
      </c>
      <c r="G83" s="16" t="s">
        <v>138</v>
      </c>
      <c r="H83">
        <v>15000</v>
      </c>
      <c r="J83" s="9">
        <v>45536</v>
      </c>
      <c r="K83">
        <v>15000</v>
      </c>
      <c r="L83">
        <v>6000</v>
      </c>
      <c r="M83">
        <v>15000</v>
      </c>
    </row>
    <row r="84" spans="3:14">
      <c r="C84" s="17">
        <v>12000</v>
      </c>
      <c r="D84" s="18">
        <v>45716</v>
      </c>
      <c r="G84" t="s">
        <v>129</v>
      </c>
      <c r="H84">
        <v>13500</v>
      </c>
      <c r="J84" s="9">
        <v>45566</v>
      </c>
      <c r="K84">
        <v>14075</v>
      </c>
      <c r="L84">
        <v>6000</v>
      </c>
      <c r="M84">
        <v>15000</v>
      </c>
      <c r="N84">
        <f>SUM(K77:M102)</f>
        <v>736275</v>
      </c>
    </row>
    <row r="85" spans="3:14">
      <c r="C85" s="17">
        <v>12000</v>
      </c>
      <c r="D85" s="18">
        <v>45751</v>
      </c>
      <c r="G85" t="s">
        <v>130</v>
      </c>
      <c r="H85">
        <v>7000</v>
      </c>
      <c r="J85" s="9">
        <v>45597</v>
      </c>
      <c r="K85">
        <v>0</v>
      </c>
      <c r="L85">
        <v>8000</v>
      </c>
      <c r="M85">
        <v>15000</v>
      </c>
    </row>
    <row r="86" spans="3:14">
      <c r="C86" s="17">
        <v>12000</v>
      </c>
      <c r="D86" s="18">
        <v>45778</v>
      </c>
      <c r="G86" s="16" t="s">
        <v>139</v>
      </c>
      <c r="H86">
        <v>15000</v>
      </c>
      <c r="J86" s="9">
        <v>45627</v>
      </c>
      <c r="K86">
        <v>0</v>
      </c>
      <c r="L86">
        <v>7000</v>
      </c>
      <c r="M86">
        <v>15000</v>
      </c>
    </row>
    <row r="87" spans="3:14">
      <c r="C87" s="17">
        <v>12000</v>
      </c>
      <c r="D87" s="18">
        <v>45832</v>
      </c>
      <c r="G87" t="s">
        <v>135</v>
      </c>
      <c r="H87">
        <v>13500</v>
      </c>
      <c r="J87" s="9">
        <v>45658</v>
      </c>
      <c r="K87">
        <v>13500</v>
      </c>
      <c r="L87">
        <v>7000</v>
      </c>
      <c r="M87">
        <v>15000</v>
      </c>
    </row>
    <row r="88" spans="3:14">
      <c r="C88" s="24">
        <v>10000</v>
      </c>
      <c r="D88" s="1">
        <v>45871</v>
      </c>
      <c r="G88" t="s">
        <v>136</v>
      </c>
      <c r="H88">
        <v>7000</v>
      </c>
      <c r="J88" s="9">
        <v>45689</v>
      </c>
      <c r="K88">
        <v>13500</v>
      </c>
      <c r="L88">
        <v>7000</v>
      </c>
      <c r="M88">
        <v>15000</v>
      </c>
    </row>
    <row r="89" spans="3:14">
      <c r="G89" t="s">
        <v>175</v>
      </c>
      <c r="H89">
        <v>15000</v>
      </c>
      <c r="J89" s="9">
        <v>45717</v>
      </c>
      <c r="K89">
        <v>13500</v>
      </c>
      <c r="L89">
        <v>7000</v>
      </c>
      <c r="M89">
        <v>15000</v>
      </c>
    </row>
    <row r="90" spans="3:14">
      <c r="G90" t="s">
        <v>176</v>
      </c>
      <c r="H90">
        <v>13500</v>
      </c>
      <c r="J90" s="9">
        <v>45748</v>
      </c>
      <c r="K90">
        <v>13500</v>
      </c>
      <c r="L90">
        <v>7000</v>
      </c>
      <c r="M90">
        <v>15000</v>
      </c>
    </row>
    <row r="91" spans="3:14">
      <c r="G91" t="s">
        <v>177</v>
      </c>
      <c r="H91">
        <v>7350</v>
      </c>
      <c r="J91" s="9">
        <v>45778</v>
      </c>
      <c r="K91">
        <v>13500</v>
      </c>
      <c r="L91">
        <v>7350</v>
      </c>
      <c r="M91">
        <v>15000</v>
      </c>
    </row>
    <row r="92" spans="3:14">
      <c r="G92" t="s">
        <v>174</v>
      </c>
      <c r="H92">
        <v>-11018</v>
      </c>
      <c r="J92" s="9">
        <v>45809</v>
      </c>
      <c r="K92">
        <v>13500</v>
      </c>
      <c r="L92">
        <v>7350</v>
      </c>
      <c r="M92">
        <v>15000</v>
      </c>
    </row>
    <row r="93" spans="3:14">
      <c r="G93" t="s">
        <v>180</v>
      </c>
      <c r="H93">
        <v>13500</v>
      </c>
      <c r="J93" s="9">
        <v>45839</v>
      </c>
      <c r="K93">
        <v>13500</v>
      </c>
      <c r="L93">
        <v>7350</v>
      </c>
      <c r="M93">
        <v>15000</v>
      </c>
    </row>
    <row r="94" spans="3:14">
      <c r="G94" t="s">
        <v>181</v>
      </c>
      <c r="H94">
        <v>15000</v>
      </c>
      <c r="J94" s="9">
        <v>45870</v>
      </c>
      <c r="K94">
        <v>13500</v>
      </c>
      <c r="L94">
        <v>7350</v>
      </c>
      <c r="M94">
        <v>15000</v>
      </c>
    </row>
    <row r="95" spans="3:14">
      <c r="G95" t="s">
        <v>182</v>
      </c>
      <c r="H95">
        <v>7350</v>
      </c>
      <c r="J95" s="9">
        <v>45901</v>
      </c>
      <c r="K95">
        <v>13500</v>
      </c>
      <c r="L95">
        <v>7350</v>
      </c>
      <c r="M95">
        <v>15000</v>
      </c>
    </row>
    <row r="96" spans="3:14">
      <c r="G96" t="s">
        <v>187</v>
      </c>
      <c r="H96">
        <v>13500</v>
      </c>
      <c r="J96" s="9">
        <v>45931</v>
      </c>
      <c r="K96">
        <v>13500</v>
      </c>
      <c r="L96">
        <v>7350</v>
      </c>
      <c r="M96">
        <v>15000</v>
      </c>
    </row>
    <row r="97" spans="1:13">
      <c r="G97" t="s">
        <v>188</v>
      </c>
      <c r="H97">
        <v>15000</v>
      </c>
      <c r="J97" s="9">
        <v>45962</v>
      </c>
      <c r="K97">
        <v>13500</v>
      </c>
      <c r="L97">
        <v>7350</v>
      </c>
      <c r="M97">
        <v>15000</v>
      </c>
    </row>
    <row r="98" spans="1:13">
      <c r="G98" t="s">
        <v>189</v>
      </c>
      <c r="H98">
        <v>7350</v>
      </c>
      <c r="J98" s="9">
        <v>45992</v>
      </c>
      <c r="K98">
        <v>13500</v>
      </c>
      <c r="L98">
        <v>7350</v>
      </c>
      <c r="M98">
        <v>15000</v>
      </c>
    </row>
    <row r="99" spans="1:13">
      <c r="G99" t="s">
        <v>193</v>
      </c>
      <c r="H99">
        <v>13500</v>
      </c>
      <c r="J99" s="9">
        <v>46023</v>
      </c>
      <c r="K99">
        <v>13500</v>
      </c>
      <c r="L99">
        <v>7350</v>
      </c>
      <c r="M99">
        <v>15000</v>
      </c>
    </row>
    <row r="100" spans="1:13">
      <c r="G100" t="s">
        <v>194</v>
      </c>
      <c r="H100">
        <v>15000</v>
      </c>
      <c r="J100" s="9">
        <v>46054</v>
      </c>
      <c r="K100">
        <v>13500</v>
      </c>
      <c r="L100">
        <v>7350</v>
      </c>
      <c r="M100">
        <v>15000</v>
      </c>
    </row>
    <row r="101" spans="1:13">
      <c r="G101" t="s">
        <v>195</v>
      </c>
      <c r="H101">
        <v>7000</v>
      </c>
      <c r="J101" s="9">
        <v>46082</v>
      </c>
      <c r="K101">
        <v>13500</v>
      </c>
      <c r="L101">
        <v>7350</v>
      </c>
      <c r="M101">
        <v>15000</v>
      </c>
    </row>
    <row r="102" spans="1:13">
      <c r="G102" t="s">
        <v>203</v>
      </c>
      <c r="H102">
        <v>13500</v>
      </c>
      <c r="J102" s="9">
        <v>46113</v>
      </c>
      <c r="K102">
        <v>13500</v>
      </c>
      <c r="L102">
        <v>7350</v>
      </c>
      <c r="M102">
        <v>15000</v>
      </c>
    </row>
    <row r="103" spans="1:13">
      <c r="C103">
        <f>SUBTOTAL(9,C23:C73)</f>
        <v>565600</v>
      </c>
      <c r="G103" t="s">
        <v>204</v>
      </c>
      <c r="H103">
        <v>15000</v>
      </c>
      <c r="J103" s="9">
        <v>46143</v>
      </c>
      <c r="K103">
        <v>13500</v>
      </c>
      <c r="L103">
        <v>7350</v>
      </c>
      <c r="M103">
        <v>15000</v>
      </c>
    </row>
    <row r="104" spans="1:13">
      <c r="B104" s="9" t="s">
        <v>197</v>
      </c>
      <c r="G104" t="s">
        <v>205</v>
      </c>
      <c r="H104">
        <v>7700</v>
      </c>
      <c r="J104" s="9">
        <v>46174</v>
      </c>
      <c r="K104">
        <v>13500</v>
      </c>
      <c r="L104">
        <v>7350</v>
      </c>
      <c r="M104">
        <v>15000</v>
      </c>
    </row>
    <row r="105" spans="1:13">
      <c r="G105" t="s">
        <v>34</v>
      </c>
      <c r="H105">
        <v>-190</v>
      </c>
      <c r="J105" s="9">
        <v>46204</v>
      </c>
      <c r="K105">
        <v>13500</v>
      </c>
      <c r="L105">
        <v>7350</v>
      </c>
      <c r="M105">
        <v>15000</v>
      </c>
    </row>
    <row r="106" spans="1:13" ht="43.2">
      <c r="A106">
        <v>1</v>
      </c>
      <c r="B106" s="9">
        <v>45444</v>
      </c>
      <c r="D106" s="4" t="s">
        <v>202</v>
      </c>
      <c r="E106">
        <f>12000*8</f>
        <v>96000</v>
      </c>
      <c r="G106" t="s">
        <v>58</v>
      </c>
      <c r="H106">
        <v>15000</v>
      </c>
      <c r="J106" s="9">
        <v>46235</v>
      </c>
      <c r="K106">
        <v>13500</v>
      </c>
      <c r="L106">
        <v>7350</v>
      </c>
      <c r="M106">
        <v>15000</v>
      </c>
    </row>
    <row r="107" spans="1:13">
      <c r="A107">
        <v>2</v>
      </c>
      <c r="B107" s="9">
        <v>45474</v>
      </c>
      <c r="E107">
        <v>38000</v>
      </c>
      <c r="G107" t="s">
        <v>60</v>
      </c>
      <c r="H107">
        <v>13500</v>
      </c>
      <c r="J107" s="9">
        <v>46266</v>
      </c>
      <c r="K107">
        <v>13500</v>
      </c>
      <c r="L107">
        <v>7350</v>
      </c>
      <c r="M107">
        <v>15000</v>
      </c>
    </row>
    <row r="108" spans="1:13">
      <c r="A108">
        <v>3</v>
      </c>
      <c r="B108" s="9">
        <v>45536</v>
      </c>
      <c r="D108" t="s">
        <v>198</v>
      </c>
      <c r="E108">
        <v>20000</v>
      </c>
      <c r="G108" t="s">
        <v>226</v>
      </c>
      <c r="H108">
        <v>7350</v>
      </c>
      <c r="J108" s="9">
        <v>46296</v>
      </c>
      <c r="K108">
        <v>13500</v>
      </c>
      <c r="L108">
        <v>7350</v>
      </c>
      <c r="M108">
        <v>15000</v>
      </c>
    </row>
    <row r="109" spans="1:13">
      <c r="A109">
        <v>4</v>
      </c>
      <c r="B109" s="9">
        <v>45566</v>
      </c>
      <c r="D109" t="s">
        <v>199</v>
      </c>
      <c r="E109">
        <v>-120000</v>
      </c>
      <c r="G109" t="s">
        <v>229</v>
      </c>
      <c r="H109">
        <v>15000</v>
      </c>
      <c r="J109" s="9">
        <v>46327</v>
      </c>
      <c r="K109">
        <v>13500</v>
      </c>
      <c r="L109">
        <v>7350</v>
      </c>
      <c r="M109">
        <v>15000</v>
      </c>
    </row>
    <row r="110" spans="1:13">
      <c r="A110">
        <v>5</v>
      </c>
      <c r="B110" s="9">
        <v>45597</v>
      </c>
      <c r="E110" s="6">
        <f>SUBTOTAL(9,E106:E109)</f>
        <v>34000</v>
      </c>
      <c r="G110" t="s">
        <v>230</v>
      </c>
      <c r="H110">
        <v>13500</v>
      </c>
      <c r="J110" s="9">
        <v>46357</v>
      </c>
      <c r="K110">
        <v>13500</v>
      </c>
      <c r="L110">
        <v>7350</v>
      </c>
      <c r="M110">
        <v>15000</v>
      </c>
    </row>
    <row r="111" spans="1:13">
      <c r="A111">
        <v>6</v>
      </c>
      <c r="B111" s="9">
        <v>45627</v>
      </c>
      <c r="G111" t="s">
        <v>87</v>
      </c>
      <c r="H111">
        <v>7350</v>
      </c>
    </row>
    <row r="112" spans="1:13">
      <c r="A112">
        <v>7</v>
      </c>
      <c r="B112" s="9">
        <v>45658</v>
      </c>
      <c r="G112" t="s">
        <v>240</v>
      </c>
      <c r="H112">
        <v>15000</v>
      </c>
    </row>
    <row r="113" spans="1:8">
      <c r="A113">
        <v>8</v>
      </c>
      <c r="B113" s="9">
        <v>45689</v>
      </c>
      <c r="G113" t="s">
        <v>241</v>
      </c>
      <c r="H113">
        <v>13500</v>
      </c>
    </row>
    <row r="114" spans="1:8">
      <c r="A114">
        <v>9</v>
      </c>
      <c r="B114" s="9">
        <v>45717</v>
      </c>
      <c r="G114" t="s">
        <v>104</v>
      </c>
      <c r="H114">
        <v>7350</v>
      </c>
    </row>
    <row r="115" spans="1:8">
      <c r="A115">
        <v>10</v>
      </c>
      <c r="B115" s="9">
        <v>45748</v>
      </c>
      <c r="G115" t="s">
        <v>111</v>
      </c>
      <c r="H115">
        <v>15000</v>
      </c>
    </row>
    <row r="116" spans="1:8">
      <c r="A116">
        <v>11</v>
      </c>
      <c r="B116" s="9">
        <v>45778</v>
      </c>
      <c r="G116" t="s">
        <v>113</v>
      </c>
      <c r="H116">
        <v>13500</v>
      </c>
    </row>
    <row r="117" spans="1:8">
      <c r="A117">
        <v>12</v>
      </c>
      <c r="B117" s="9">
        <v>45809</v>
      </c>
      <c r="G117" t="s">
        <v>112</v>
      </c>
      <c r="H117">
        <v>7350</v>
      </c>
    </row>
    <row r="118" spans="1:8">
      <c r="A118">
        <v>13</v>
      </c>
      <c r="B118" s="9">
        <v>45839</v>
      </c>
      <c r="G118" t="s">
        <v>242</v>
      </c>
      <c r="H118">
        <v>15000</v>
      </c>
    </row>
    <row r="119" spans="1:8">
      <c r="A119">
        <v>14</v>
      </c>
      <c r="B119" s="9">
        <v>45870</v>
      </c>
      <c r="G119" t="s">
        <v>121</v>
      </c>
      <c r="H119">
        <v>13500</v>
      </c>
    </row>
    <row r="120" spans="1:8">
      <c r="B120" t="s">
        <v>201</v>
      </c>
      <c r="C120">
        <f>14*12000</f>
        <v>168000</v>
      </c>
      <c r="G120" t="s">
        <v>122</v>
      </c>
      <c r="H120">
        <v>7350</v>
      </c>
    </row>
    <row r="121" spans="1:8">
      <c r="B121" t="s">
        <v>200</v>
      </c>
      <c r="C121">
        <v>-130000</v>
      </c>
      <c r="G121" t="s">
        <v>243</v>
      </c>
      <c r="H121">
        <v>15000</v>
      </c>
    </row>
    <row r="122" spans="1:8">
      <c r="B122" t="s">
        <v>183</v>
      </c>
      <c r="C122">
        <f>SUBTOTAL(9,C120:C121)</f>
        <v>38000</v>
      </c>
      <c r="G122" t="s">
        <v>244</v>
      </c>
      <c r="H122">
        <v>13500</v>
      </c>
    </row>
    <row r="123" spans="1:8">
      <c r="G123" t="s">
        <v>130</v>
      </c>
      <c r="H123">
        <v>7350</v>
      </c>
    </row>
    <row r="124" spans="1:8">
      <c r="G124" t="s">
        <v>245</v>
      </c>
      <c r="H124">
        <v>15000</v>
      </c>
    </row>
    <row r="125" spans="1:8">
      <c r="G125" t="s">
        <v>247</v>
      </c>
      <c r="H125">
        <v>13500</v>
      </c>
    </row>
    <row r="126" spans="1:8">
      <c r="G126" t="s">
        <v>246</v>
      </c>
      <c r="H126">
        <v>7350</v>
      </c>
    </row>
    <row r="127" spans="1:8">
      <c r="G127" t="s">
        <v>248</v>
      </c>
      <c r="H127">
        <v>15000</v>
      </c>
    </row>
    <row r="128" spans="1:8">
      <c r="G128" t="s">
        <v>176</v>
      </c>
      <c r="H128">
        <v>13500</v>
      </c>
    </row>
    <row r="129" spans="7:8">
      <c r="G129" t="s">
        <v>177</v>
      </c>
      <c r="H129">
        <v>7350</v>
      </c>
    </row>
    <row r="130" spans="7:8">
      <c r="G130" t="s">
        <v>249</v>
      </c>
      <c r="H130">
        <v>-1502</v>
      </c>
    </row>
    <row r="131" spans="7:8" ht="28.8">
      <c r="G131" s="4" t="s">
        <v>84</v>
      </c>
      <c r="H131">
        <v>-4300</v>
      </c>
    </row>
    <row r="132" spans="7:8">
      <c r="G132" t="s">
        <v>174</v>
      </c>
      <c r="H132">
        <v>-11018</v>
      </c>
    </row>
    <row r="133" spans="7:8">
      <c r="G133" t="s">
        <v>250</v>
      </c>
      <c r="H133" s="15">
        <v>15750</v>
      </c>
    </row>
    <row r="134" spans="7:8">
      <c r="G134" t="s">
        <v>251</v>
      </c>
      <c r="H134" s="15">
        <v>13500</v>
      </c>
    </row>
    <row r="135" spans="7:8">
      <c r="G135" t="s">
        <v>252</v>
      </c>
      <c r="H135" s="15">
        <v>7350</v>
      </c>
    </row>
    <row r="136" spans="7:8">
      <c r="G136" t="s">
        <v>253</v>
      </c>
      <c r="H136" s="15">
        <v>15750</v>
      </c>
    </row>
    <row r="137" spans="7:8">
      <c r="G137" t="s">
        <v>254</v>
      </c>
      <c r="H137" s="15">
        <v>13500</v>
      </c>
    </row>
    <row r="138" spans="7:8">
      <c r="G138" t="s">
        <v>255</v>
      </c>
      <c r="H138" s="15">
        <v>7350</v>
      </c>
    </row>
    <row r="139" spans="7:8">
      <c r="G139" t="s">
        <v>256</v>
      </c>
      <c r="H139" s="15">
        <v>15750</v>
      </c>
    </row>
    <row r="140" spans="7:8">
      <c r="G140" t="s">
        <v>257</v>
      </c>
      <c r="H140" s="15">
        <v>13500</v>
      </c>
    </row>
    <row r="141" spans="7:8">
      <c r="G141" t="s">
        <v>258</v>
      </c>
      <c r="H141" s="15">
        <v>7350</v>
      </c>
    </row>
    <row r="142" spans="7:8">
      <c r="G142" t="s">
        <v>259</v>
      </c>
      <c r="H142" s="15">
        <v>15750</v>
      </c>
    </row>
    <row r="143" spans="7:8">
      <c r="G143" t="s">
        <v>260</v>
      </c>
      <c r="H143" s="15">
        <v>13500</v>
      </c>
    </row>
    <row r="144" spans="7:8">
      <c r="G144" t="s">
        <v>261</v>
      </c>
      <c r="H144" s="15">
        <v>7350</v>
      </c>
    </row>
    <row r="145" spans="7:8">
      <c r="G145" t="s">
        <v>262</v>
      </c>
      <c r="H145" s="15">
        <v>15750</v>
      </c>
    </row>
    <row r="146" spans="7:8">
      <c r="G146" t="s">
        <v>263</v>
      </c>
      <c r="H146" s="15">
        <v>13500</v>
      </c>
    </row>
    <row r="147" spans="7:8">
      <c r="G147" t="s">
        <v>264</v>
      </c>
      <c r="H147" s="15">
        <v>7350</v>
      </c>
    </row>
    <row r="148" spans="7:8">
      <c r="G148" t="s">
        <v>265</v>
      </c>
      <c r="H148" s="15">
        <v>15750</v>
      </c>
    </row>
    <row r="149" spans="7:8">
      <c r="G149" t="s">
        <v>266</v>
      </c>
      <c r="H149" s="15">
        <v>13500</v>
      </c>
    </row>
    <row r="150" spans="7:8">
      <c r="G150" t="s">
        <v>267</v>
      </c>
      <c r="H150" s="15">
        <v>7350</v>
      </c>
    </row>
    <row r="151" spans="7:8">
      <c r="G151" t="s">
        <v>268</v>
      </c>
      <c r="H151" s="15">
        <v>15750</v>
      </c>
    </row>
    <row r="152" spans="7:8">
      <c r="G152" t="s">
        <v>269</v>
      </c>
      <c r="H152" s="15">
        <v>13500</v>
      </c>
    </row>
    <row r="153" spans="7:8">
      <c r="G153" t="s">
        <v>270</v>
      </c>
      <c r="H153" s="15">
        <v>7350</v>
      </c>
    </row>
    <row r="154" spans="7:8">
      <c r="G154" t="s">
        <v>271</v>
      </c>
      <c r="H154" s="15">
        <v>15750</v>
      </c>
    </row>
    <row r="155" spans="7:8">
      <c r="G155" t="s">
        <v>272</v>
      </c>
      <c r="H155" s="15">
        <v>13500</v>
      </c>
    </row>
    <row r="156" spans="7:8">
      <c r="G156" t="s">
        <v>273</v>
      </c>
      <c r="H156" s="15">
        <v>7350</v>
      </c>
    </row>
    <row r="157" spans="7:8">
      <c r="G157" t="s">
        <v>274</v>
      </c>
    </row>
    <row r="158" spans="7:8">
      <c r="G158" t="s">
        <v>275</v>
      </c>
    </row>
    <row r="159" spans="7:8">
      <c r="G159" t="s">
        <v>276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5A3D-78C1-4CED-B2CA-FA2A508121D8}">
  <dimension ref="A1:AP132"/>
  <sheetViews>
    <sheetView tabSelected="1" topLeftCell="A87" zoomScaleNormal="100" workbookViewId="0">
      <selection activeCell="C17" sqref="C17"/>
    </sheetView>
  </sheetViews>
  <sheetFormatPr defaultRowHeight="14.4"/>
  <cols>
    <col min="1" max="1" width="19.109375" customWidth="1"/>
    <col min="2" max="2" width="13" customWidth="1"/>
    <col min="3" max="3" width="9.5546875" bestFit="1" customWidth="1"/>
    <col min="5" max="5" width="14.21875" bestFit="1" customWidth="1"/>
    <col min="8" max="8" width="9.5546875" bestFit="1" customWidth="1"/>
    <col min="9" max="9" width="9.21875" customWidth="1"/>
    <col min="10" max="10" width="9.33203125" bestFit="1" customWidth="1"/>
    <col min="14" max="14" width="9.33203125" bestFit="1" customWidth="1"/>
  </cols>
  <sheetData>
    <row r="1" spans="1:42">
      <c r="A1" s="19" t="s">
        <v>47</v>
      </c>
      <c r="B1" s="11" t="s">
        <v>67</v>
      </c>
      <c r="C1" s="11" t="s">
        <v>68</v>
      </c>
      <c r="D1" s="11"/>
      <c r="E1" s="11"/>
      <c r="F1" s="11"/>
      <c r="AI1">
        <f>SUM(AI3:AI32)</f>
        <v>-703</v>
      </c>
    </row>
    <row r="2" spans="1:42">
      <c r="A2" s="11" t="s">
        <v>61</v>
      </c>
      <c r="B2" s="18">
        <v>46027</v>
      </c>
      <c r="C2" s="18">
        <v>46757</v>
      </c>
      <c r="D2" s="11">
        <v>49000</v>
      </c>
      <c r="E2" s="20">
        <v>0.09</v>
      </c>
      <c r="F2" s="11"/>
      <c r="AH2" t="s">
        <v>140</v>
      </c>
      <c r="AI2" t="s">
        <v>141</v>
      </c>
      <c r="AL2">
        <v>30000</v>
      </c>
    </row>
    <row r="3" spans="1:42">
      <c r="A3" s="11" t="s">
        <v>62</v>
      </c>
      <c r="B3" s="18">
        <v>46027</v>
      </c>
      <c r="C3" s="18">
        <v>46757</v>
      </c>
      <c r="D3" s="11">
        <v>49000</v>
      </c>
      <c r="E3" s="20">
        <v>0.09</v>
      </c>
      <c r="F3" s="11"/>
      <c r="AH3" t="s">
        <v>143</v>
      </c>
      <c r="AI3">
        <v>30000</v>
      </c>
      <c r="AJ3" s="2"/>
      <c r="AL3">
        <v>19800</v>
      </c>
      <c r="AM3">
        <v>5300</v>
      </c>
      <c r="AN3">
        <v>14500</v>
      </c>
    </row>
    <row r="4" spans="1:42">
      <c r="A4" s="11" t="s">
        <v>63</v>
      </c>
      <c r="B4" s="18">
        <v>46031</v>
      </c>
      <c r="C4" s="1">
        <v>46761</v>
      </c>
      <c r="D4" s="11">
        <v>49000</v>
      </c>
      <c r="E4" s="20">
        <v>0.105</v>
      </c>
      <c r="F4" s="11"/>
      <c r="AH4" t="s">
        <v>142</v>
      </c>
      <c r="AI4">
        <v>-5000</v>
      </c>
      <c r="AJ4" s="2"/>
      <c r="AL4">
        <v>12000</v>
      </c>
    </row>
    <row r="5" spans="1:42">
      <c r="AH5" s="9">
        <v>45748</v>
      </c>
      <c r="AI5">
        <v>-3770</v>
      </c>
      <c r="AJ5" s="2"/>
      <c r="AL5">
        <v>12000</v>
      </c>
    </row>
    <row r="6" spans="1:42">
      <c r="A6" s="21" t="s">
        <v>64</v>
      </c>
      <c r="B6" s="11"/>
      <c r="C6" s="11"/>
      <c r="D6" s="11"/>
      <c r="E6" s="11"/>
      <c r="F6" s="11"/>
      <c r="J6" s="9">
        <v>45748</v>
      </c>
      <c r="K6" s="9">
        <v>45778</v>
      </c>
      <c r="L6" s="9">
        <v>45809</v>
      </c>
      <c r="M6" s="9">
        <v>45839</v>
      </c>
      <c r="N6" s="9">
        <v>45870</v>
      </c>
      <c r="O6" s="9">
        <v>45901</v>
      </c>
      <c r="P6" s="9">
        <v>45931</v>
      </c>
      <c r="Q6" s="9">
        <v>45962</v>
      </c>
      <c r="R6" s="9">
        <v>45992</v>
      </c>
      <c r="S6" s="9">
        <v>46023</v>
      </c>
      <c r="T6" s="9">
        <v>46054</v>
      </c>
      <c r="U6" s="9">
        <v>46082</v>
      </c>
      <c r="AH6" t="s">
        <v>144</v>
      </c>
      <c r="AI6">
        <v>-5000</v>
      </c>
      <c r="AJ6" s="2"/>
      <c r="AL6" s="15">
        <f>SUM(AL2:AL5)</f>
        <v>73800</v>
      </c>
    </row>
    <row r="7" spans="1:42">
      <c r="A7" s="68">
        <v>43258898512</v>
      </c>
      <c r="B7" s="11"/>
      <c r="C7" s="11"/>
      <c r="D7" s="11"/>
      <c r="E7" s="11"/>
      <c r="F7" s="11"/>
      <c r="J7" s="9"/>
      <c r="K7">
        <v>13563</v>
      </c>
      <c r="L7" s="9"/>
      <c r="M7" s="9"/>
      <c r="N7">
        <v>13563</v>
      </c>
      <c r="O7" s="9"/>
      <c r="P7" s="9"/>
      <c r="Q7">
        <v>11717</v>
      </c>
      <c r="R7" s="9"/>
      <c r="S7" s="9"/>
      <c r="T7" s="9"/>
      <c r="U7" s="9"/>
      <c r="AJ7" s="2"/>
      <c r="AL7" s="15"/>
    </row>
    <row r="8" spans="1:42">
      <c r="A8" s="68">
        <v>43190411263</v>
      </c>
      <c r="B8" s="11"/>
      <c r="C8" s="11"/>
      <c r="D8" s="11"/>
      <c r="E8" s="11"/>
      <c r="F8" s="11"/>
      <c r="J8">
        <v>949</v>
      </c>
      <c r="K8" s="9"/>
      <c r="L8" s="9"/>
      <c r="M8">
        <v>949</v>
      </c>
      <c r="N8" s="9"/>
      <c r="O8" s="9"/>
      <c r="P8">
        <v>810</v>
      </c>
      <c r="Q8" s="9"/>
      <c r="R8" s="9"/>
      <c r="S8" s="9"/>
      <c r="T8" s="9"/>
      <c r="U8" s="9"/>
      <c r="AJ8" s="2"/>
      <c r="AL8" s="15"/>
    </row>
    <row r="9" spans="1:42">
      <c r="A9" s="68">
        <v>41720198767</v>
      </c>
      <c r="B9" s="11"/>
      <c r="C9" s="11"/>
      <c r="D9" s="11"/>
      <c r="E9" s="11"/>
      <c r="F9" s="11"/>
      <c r="K9">
        <v>361</v>
      </c>
      <c r="AJ9" s="2"/>
      <c r="AL9" s="15"/>
    </row>
    <row r="10" spans="1:42">
      <c r="A10" s="68">
        <v>42773181631</v>
      </c>
      <c r="B10" s="11"/>
      <c r="C10" s="11"/>
      <c r="D10" s="11"/>
      <c r="E10" s="11"/>
      <c r="F10" s="11"/>
      <c r="J10">
        <v>702</v>
      </c>
      <c r="M10">
        <v>1888</v>
      </c>
      <c r="AJ10" s="2"/>
      <c r="AL10" s="15"/>
    </row>
    <row r="11" spans="1:42">
      <c r="A11" s="68">
        <v>42246810208</v>
      </c>
      <c r="B11" s="11"/>
      <c r="C11" s="11"/>
      <c r="D11" s="11"/>
      <c r="E11" s="11"/>
      <c r="F11" s="11"/>
      <c r="M11">
        <v>949</v>
      </c>
      <c r="AJ11" s="2"/>
      <c r="AL11" s="15"/>
    </row>
    <row r="12" spans="1:42">
      <c r="A12" s="68">
        <v>41368267950</v>
      </c>
      <c r="B12" s="11"/>
      <c r="C12" s="11"/>
      <c r="D12" s="11"/>
      <c r="E12" s="11"/>
      <c r="F12" s="11"/>
      <c r="J12">
        <v>1630</v>
      </c>
      <c r="M12">
        <v>771</v>
      </c>
      <c r="X12">
        <f>SUM(J7:U19)</f>
        <v>101081</v>
      </c>
      <c r="AJ12" s="2"/>
      <c r="AL12" s="15"/>
    </row>
    <row r="13" spans="1:42">
      <c r="A13" s="68">
        <v>41368300002</v>
      </c>
      <c r="B13" s="11"/>
      <c r="C13" s="11"/>
      <c r="D13" s="11"/>
      <c r="E13" s="11"/>
      <c r="F13" s="11"/>
      <c r="J13">
        <v>1630</v>
      </c>
      <c r="M13">
        <v>771</v>
      </c>
      <c r="AJ13" s="2"/>
      <c r="AL13" s="15"/>
    </row>
    <row r="14" spans="1:42">
      <c r="A14" s="68">
        <v>43190411263</v>
      </c>
      <c r="B14" s="11"/>
      <c r="C14" s="11"/>
      <c r="D14" s="11"/>
      <c r="E14" s="11"/>
      <c r="F14" s="11"/>
      <c r="J14">
        <v>949</v>
      </c>
      <c r="M14">
        <v>949</v>
      </c>
      <c r="P14">
        <v>810</v>
      </c>
      <c r="AJ14" s="2"/>
      <c r="AL14" s="15"/>
    </row>
    <row r="15" spans="1:42">
      <c r="A15" s="11">
        <v>42446106429</v>
      </c>
      <c r="B15" s="18"/>
      <c r="C15" s="11"/>
      <c r="D15" s="11"/>
      <c r="E15" s="20"/>
      <c r="F15" s="11"/>
      <c r="L15">
        <v>927</v>
      </c>
      <c r="O15">
        <v>927</v>
      </c>
      <c r="R15" t="s">
        <v>234</v>
      </c>
      <c r="AH15" t="s">
        <v>145</v>
      </c>
      <c r="AI15">
        <v>-530</v>
      </c>
      <c r="AK15" t="s">
        <v>144</v>
      </c>
      <c r="AL15" s="15">
        <v>-5000</v>
      </c>
    </row>
    <row r="16" spans="1:42">
      <c r="A16" s="11">
        <v>42246810208</v>
      </c>
      <c r="B16" s="18"/>
      <c r="C16" s="18"/>
      <c r="D16" s="11"/>
      <c r="E16" s="20"/>
      <c r="F16" s="11"/>
      <c r="G16" s="9"/>
      <c r="J16">
        <v>949</v>
      </c>
      <c r="M16">
        <v>949</v>
      </c>
      <c r="P16">
        <v>949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H16" s="9" t="s">
        <v>146</v>
      </c>
      <c r="AI16">
        <v>-45</v>
      </c>
      <c r="AJ16" s="9"/>
      <c r="AK16" s="9" t="s">
        <v>160</v>
      </c>
      <c r="AL16" s="15">
        <v>-1500</v>
      </c>
      <c r="AM16" s="9"/>
      <c r="AN16" s="9"/>
      <c r="AO16" s="9"/>
      <c r="AP16" s="9"/>
    </row>
    <row r="17" spans="1:42">
      <c r="A17" s="11">
        <v>42773181631</v>
      </c>
      <c r="B17" s="18">
        <v>45775</v>
      </c>
      <c r="C17" s="18">
        <v>46219</v>
      </c>
      <c r="D17" s="11">
        <v>100000</v>
      </c>
      <c r="E17" s="20">
        <v>7.5499999999999998E-2</v>
      </c>
      <c r="F17" s="11"/>
      <c r="P17">
        <v>1888</v>
      </c>
      <c r="AH17" t="s">
        <v>147</v>
      </c>
      <c r="AI17">
        <v>-390</v>
      </c>
      <c r="AK17" t="s">
        <v>162</v>
      </c>
      <c r="AL17" s="15">
        <v>-1500</v>
      </c>
    </row>
    <row r="18" spans="1:42" ht="28.8">
      <c r="A18" s="67" t="s">
        <v>232</v>
      </c>
      <c r="B18" s="18">
        <v>45771</v>
      </c>
      <c r="C18" s="18">
        <v>47597</v>
      </c>
      <c r="D18" s="11">
        <v>1100000</v>
      </c>
      <c r="E18" s="20">
        <v>8.2000000000000003E-2</v>
      </c>
      <c r="F18" s="11"/>
      <c r="L18">
        <v>16851</v>
      </c>
      <c r="O18">
        <v>22550</v>
      </c>
      <c r="R18" t="s">
        <v>234</v>
      </c>
      <c r="AH18" t="s">
        <v>148</v>
      </c>
      <c r="AI18">
        <v>-170</v>
      </c>
      <c r="AL18">
        <f>SUM(AL6:AL17)</f>
        <v>65800</v>
      </c>
      <c r="AN18" t="s">
        <v>167</v>
      </c>
      <c r="AO18">
        <v>200</v>
      </c>
      <c r="AP18">
        <v>100</v>
      </c>
    </row>
    <row r="19" spans="1:42">
      <c r="A19" s="11">
        <v>44287192049</v>
      </c>
      <c r="B19" s="18">
        <v>45855</v>
      </c>
      <c r="C19" s="18">
        <v>46299</v>
      </c>
      <c r="D19" s="11">
        <v>120000</v>
      </c>
      <c r="E19" s="20">
        <v>7.0999999999999994E-2</v>
      </c>
      <c r="F19" s="11"/>
      <c r="P19">
        <v>2130</v>
      </c>
      <c r="AH19" t="s">
        <v>149</v>
      </c>
      <c r="AI19">
        <v>-20</v>
      </c>
      <c r="AL19" s="15">
        <v>-30700</v>
      </c>
      <c r="AN19" t="s">
        <v>169</v>
      </c>
      <c r="AO19">
        <v>200</v>
      </c>
    </row>
    <row r="20" spans="1:42">
      <c r="F20" s="11"/>
      <c r="AH20" t="s">
        <v>5</v>
      </c>
      <c r="AI20">
        <v>-40</v>
      </c>
      <c r="AK20" t="s">
        <v>166</v>
      </c>
      <c r="AL20">
        <f>SUM(AL18:AL19)</f>
        <v>35100</v>
      </c>
      <c r="AN20" t="s">
        <v>168</v>
      </c>
      <c r="AP20">
        <v>100</v>
      </c>
    </row>
    <row r="21" spans="1:42">
      <c r="AH21" t="s">
        <v>152</v>
      </c>
      <c r="AI21">
        <v>-145</v>
      </c>
    </row>
    <row r="22" spans="1:42">
      <c r="A22" s="21" t="s">
        <v>66</v>
      </c>
      <c r="B22" s="11"/>
      <c r="C22" s="11"/>
      <c r="D22" s="11"/>
      <c r="E22" s="11"/>
      <c r="F22" s="11"/>
      <c r="AH22" t="s">
        <v>153</v>
      </c>
      <c r="AI22">
        <v>-54</v>
      </c>
      <c r="AJ22" t="s">
        <v>154</v>
      </c>
    </row>
    <row r="23" spans="1:42">
      <c r="A23" s="11">
        <v>119749</v>
      </c>
      <c r="B23" s="18">
        <v>45645</v>
      </c>
      <c r="C23" s="18">
        <v>46375</v>
      </c>
      <c r="D23" s="11">
        <v>48000</v>
      </c>
      <c r="E23" s="20"/>
      <c r="F23" s="11"/>
      <c r="AH23" t="s">
        <v>155</v>
      </c>
      <c r="AI23">
        <v>-690</v>
      </c>
    </row>
    <row r="24" spans="1:42">
      <c r="A24" s="11">
        <v>118315</v>
      </c>
      <c r="B24" s="18">
        <v>45755</v>
      </c>
      <c r="C24" s="18">
        <v>46484</v>
      </c>
      <c r="D24" s="11">
        <v>60000</v>
      </c>
      <c r="E24" s="20">
        <v>0.09</v>
      </c>
      <c r="F24" s="11"/>
      <c r="AH24" t="s">
        <v>156</v>
      </c>
      <c r="AI24">
        <v>-400</v>
      </c>
      <c r="AM24">
        <v>147</v>
      </c>
      <c r="AO24">
        <f>AM24*AN25</f>
        <v>73500</v>
      </c>
    </row>
    <row r="25" spans="1:42">
      <c r="A25" s="11">
        <v>118899</v>
      </c>
      <c r="B25" s="18">
        <v>45796</v>
      </c>
      <c r="C25" s="18">
        <v>46526</v>
      </c>
      <c r="D25" s="11">
        <v>49000</v>
      </c>
      <c r="E25" s="20">
        <v>8.2500000000000004E-2</v>
      </c>
      <c r="F25" s="11">
        <v>337</v>
      </c>
      <c r="AH25" t="s">
        <v>157</v>
      </c>
      <c r="AI25">
        <v>-50</v>
      </c>
      <c r="AM25">
        <v>123</v>
      </c>
      <c r="AN25">
        <v>500</v>
      </c>
      <c r="AO25">
        <f>AM25*AN25</f>
        <v>61500</v>
      </c>
    </row>
    <row r="26" spans="1:42">
      <c r="A26" s="11">
        <v>118900</v>
      </c>
      <c r="B26" s="18">
        <v>45796</v>
      </c>
      <c r="C26" s="18">
        <v>46526</v>
      </c>
      <c r="D26" s="11">
        <v>49000</v>
      </c>
      <c r="E26" s="20">
        <v>8.2500000000000004E-2</v>
      </c>
      <c r="F26" s="11">
        <v>337</v>
      </c>
      <c r="AH26" t="s">
        <v>6</v>
      </c>
      <c r="AI26">
        <v>-80</v>
      </c>
      <c r="AM26">
        <f>AM24-AM25</f>
        <v>24</v>
      </c>
      <c r="AO26">
        <v>-43800</v>
      </c>
    </row>
    <row r="27" spans="1:42">
      <c r="A27" s="11">
        <v>118918</v>
      </c>
      <c r="B27" s="18">
        <v>45811</v>
      </c>
      <c r="C27" s="18">
        <v>46541</v>
      </c>
      <c r="D27" s="11">
        <v>49000</v>
      </c>
      <c r="E27" s="20">
        <v>8.2500000000000004E-2</v>
      </c>
      <c r="F27" s="11">
        <v>337</v>
      </c>
      <c r="AH27" t="s">
        <v>158</v>
      </c>
      <c r="AI27">
        <v>-95</v>
      </c>
      <c r="AO27">
        <f>SUM(AO25:AO26)</f>
        <v>17700</v>
      </c>
    </row>
    <row r="28" spans="1:42">
      <c r="A28" s="11">
        <v>118943</v>
      </c>
      <c r="B28" s="18">
        <v>45840</v>
      </c>
      <c r="C28" s="18">
        <v>46570</v>
      </c>
      <c r="D28" s="11">
        <v>49000</v>
      </c>
      <c r="E28" s="20">
        <v>8.2500000000000004E-2</v>
      </c>
      <c r="F28" s="11">
        <v>337</v>
      </c>
      <c r="AH28" t="s">
        <v>159</v>
      </c>
      <c r="AI28">
        <v>-33</v>
      </c>
    </row>
    <row r="29" spans="1:42">
      <c r="A29" s="11">
        <v>120130</v>
      </c>
      <c r="B29" s="18">
        <v>45881</v>
      </c>
      <c r="C29" s="18">
        <v>46611</v>
      </c>
      <c r="D29" s="11">
        <v>119000</v>
      </c>
      <c r="E29" s="20">
        <v>8.5000000000000006E-2</v>
      </c>
      <c r="F29" s="11"/>
      <c r="AH29" t="s">
        <v>160</v>
      </c>
      <c r="AI29">
        <v>-14000</v>
      </c>
      <c r="AN29" s="1">
        <v>45520</v>
      </c>
    </row>
    <row r="30" spans="1:42">
      <c r="A30" s="11">
        <v>119440</v>
      </c>
      <c r="B30" s="18">
        <v>45839</v>
      </c>
      <c r="C30" s="18">
        <v>46600</v>
      </c>
      <c r="D30" s="11">
        <v>90000</v>
      </c>
      <c r="E30" s="20">
        <v>8.5000000000000006E-2</v>
      </c>
      <c r="F30" s="11"/>
      <c r="AH30" t="s">
        <v>161</v>
      </c>
      <c r="AI30">
        <v>-168</v>
      </c>
      <c r="AN30">
        <v>444</v>
      </c>
    </row>
    <row r="31" spans="1:42">
      <c r="A31" s="11">
        <v>119439</v>
      </c>
      <c r="B31" s="18">
        <v>45839</v>
      </c>
      <c r="C31" s="18">
        <v>46600</v>
      </c>
      <c r="D31" s="11">
        <v>50000</v>
      </c>
      <c r="E31" s="20">
        <v>8.5000000000000006E-2</v>
      </c>
      <c r="F31" s="11"/>
      <c r="AH31" t="s">
        <v>163</v>
      </c>
      <c r="AI31">
        <v>-13</v>
      </c>
      <c r="AN31" s="1">
        <f>SUM(AN29:AN30)</f>
        <v>45964</v>
      </c>
    </row>
    <row r="32" spans="1:42">
      <c r="A32" s="11">
        <v>120337</v>
      </c>
      <c r="B32" s="18">
        <v>46027</v>
      </c>
      <c r="C32" s="18">
        <v>46757</v>
      </c>
      <c r="D32" s="11">
        <v>55000</v>
      </c>
      <c r="E32" s="20">
        <v>8.5000000000000006E-2</v>
      </c>
      <c r="F32" s="11"/>
      <c r="AH32" t="s">
        <v>164</v>
      </c>
      <c r="AI32">
        <v>-10</v>
      </c>
      <c r="AN32">
        <v>444</v>
      </c>
    </row>
    <row r="33" spans="1:40">
      <c r="A33" s="11">
        <v>120354</v>
      </c>
      <c r="B33" s="18">
        <v>46027</v>
      </c>
      <c r="C33" s="18">
        <v>46765</v>
      </c>
      <c r="D33" s="11">
        <v>49000</v>
      </c>
      <c r="E33" s="20">
        <v>8.5000000000000006E-2</v>
      </c>
      <c r="F33" s="11"/>
    </row>
    <row r="34" spans="1:40">
      <c r="A34">
        <v>119208</v>
      </c>
      <c r="B34" s="1">
        <v>46084</v>
      </c>
      <c r="C34" s="1">
        <v>46757</v>
      </c>
      <c r="D34">
        <v>90000</v>
      </c>
      <c r="E34" s="20"/>
      <c r="F34" s="11"/>
      <c r="AH34" t="s">
        <v>144</v>
      </c>
      <c r="AI34" s="15">
        <v>-5000</v>
      </c>
      <c r="AN34" s="1">
        <f>SUM(AN31:AN32)</f>
        <v>46408</v>
      </c>
    </row>
    <row r="35" spans="1:40">
      <c r="A35">
        <v>119237</v>
      </c>
      <c r="B35" s="1">
        <v>46116</v>
      </c>
      <c r="C35" s="1">
        <v>46757</v>
      </c>
      <c r="D35">
        <v>49000</v>
      </c>
      <c r="E35" s="20"/>
      <c r="F35" s="11"/>
      <c r="AH35" t="s">
        <v>165</v>
      </c>
      <c r="AI35" s="15">
        <v>-1500</v>
      </c>
    </row>
    <row r="36" spans="1:40">
      <c r="A36" s="11">
        <v>119332</v>
      </c>
      <c r="B36" s="18">
        <v>45446</v>
      </c>
      <c r="C36" s="18">
        <v>46176</v>
      </c>
      <c r="D36" s="69">
        <v>49000</v>
      </c>
      <c r="E36" s="22">
        <v>0.08</v>
      </c>
      <c r="F36" s="11">
        <v>367</v>
      </c>
      <c r="AH36" t="s">
        <v>162</v>
      </c>
      <c r="AI36" s="15">
        <v>-1500</v>
      </c>
    </row>
    <row r="37" spans="1:40">
      <c r="A37" s="11">
        <v>119378</v>
      </c>
      <c r="B37" s="18">
        <v>45450</v>
      </c>
      <c r="C37" s="18">
        <v>46180</v>
      </c>
      <c r="D37" s="69">
        <v>60000</v>
      </c>
      <c r="E37" s="22">
        <v>0.08</v>
      </c>
      <c r="F37" s="11">
        <v>450</v>
      </c>
    </row>
    <row r="38" spans="1:40">
      <c r="A38" s="11">
        <v>119090</v>
      </c>
      <c r="B38" s="18">
        <v>45238</v>
      </c>
      <c r="C38" s="18">
        <v>46334</v>
      </c>
      <c r="D38" s="11">
        <v>49000</v>
      </c>
      <c r="E38" s="20">
        <v>8.2500000000000004E-2</v>
      </c>
      <c r="F38" s="11">
        <v>336</v>
      </c>
    </row>
    <row r="39" spans="1:40">
      <c r="A39" s="11">
        <v>119302</v>
      </c>
      <c r="B39" s="18">
        <v>45421</v>
      </c>
      <c r="C39" s="18">
        <v>46516</v>
      </c>
      <c r="D39" s="11">
        <v>90000</v>
      </c>
      <c r="E39" s="20">
        <v>8.2500000000000004E-2</v>
      </c>
      <c r="F39" s="11">
        <v>618</v>
      </c>
    </row>
    <row r="40" spans="1:40">
      <c r="A40" s="11">
        <v>119622</v>
      </c>
      <c r="B40" s="18">
        <v>45559</v>
      </c>
      <c r="C40" s="18">
        <v>46289</v>
      </c>
      <c r="D40" s="11">
        <v>100000</v>
      </c>
      <c r="E40" s="22">
        <v>0.09</v>
      </c>
      <c r="F40" s="11">
        <v>750</v>
      </c>
    </row>
    <row r="41" spans="1:40">
      <c r="A41" s="11">
        <v>118606</v>
      </c>
      <c r="B41" s="18">
        <v>45608</v>
      </c>
      <c r="C41" s="18">
        <v>46338</v>
      </c>
      <c r="D41" s="11">
        <v>49000</v>
      </c>
      <c r="E41" s="22">
        <v>0.09</v>
      </c>
      <c r="F41" s="11">
        <v>368</v>
      </c>
    </row>
    <row r="43" spans="1:40">
      <c r="A43" s="21" t="s">
        <v>65</v>
      </c>
      <c r="B43" s="11"/>
      <c r="C43" s="11"/>
      <c r="D43" s="11"/>
      <c r="E43" s="11"/>
      <c r="F43" s="11"/>
    </row>
    <row r="44" spans="1:40">
      <c r="A44" s="62" t="s">
        <v>238</v>
      </c>
      <c r="B44" s="18">
        <v>46159</v>
      </c>
      <c r="C44" s="18">
        <v>47286</v>
      </c>
      <c r="D44" s="11">
        <v>49000</v>
      </c>
      <c r="E44" s="20">
        <v>8.5000000000000006E-2</v>
      </c>
      <c r="F44" s="11"/>
    </row>
    <row r="45" spans="1:40">
      <c r="A45" s="62" t="s">
        <v>239</v>
      </c>
      <c r="B45" s="18">
        <v>46093</v>
      </c>
      <c r="C45" s="18">
        <v>47220</v>
      </c>
      <c r="D45" s="11">
        <v>49000</v>
      </c>
      <c r="E45" s="20">
        <v>8.5000000000000006E-2</v>
      </c>
      <c r="F45" s="11"/>
    </row>
    <row r="46" spans="1:40">
      <c r="A46" s="62" t="s">
        <v>69</v>
      </c>
      <c r="B46" s="18">
        <v>45118</v>
      </c>
      <c r="C46" s="18">
        <v>46214</v>
      </c>
      <c r="D46" s="69">
        <v>49000</v>
      </c>
      <c r="E46" s="20">
        <v>8.5000000000000006E-2</v>
      </c>
      <c r="F46" s="11"/>
    </row>
    <row r="47" spans="1:40">
      <c r="A47" s="62" t="s">
        <v>70</v>
      </c>
      <c r="B47" s="18">
        <v>45118</v>
      </c>
      <c r="C47" s="18">
        <v>46214</v>
      </c>
      <c r="D47" s="69">
        <v>49000</v>
      </c>
      <c r="E47" s="20">
        <v>8.5000000000000006E-2</v>
      </c>
      <c r="F47" s="11"/>
    </row>
    <row r="48" spans="1:40">
      <c r="A48" s="62" t="s">
        <v>71</v>
      </c>
      <c r="B48" s="18">
        <v>45110</v>
      </c>
      <c r="C48" s="18">
        <v>46237</v>
      </c>
      <c r="D48" s="11">
        <v>49000</v>
      </c>
      <c r="E48" s="20">
        <v>8.5000000000000006E-2</v>
      </c>
      <c r="F48" s="11"/>
    </row>
    <row r="49" spans="1:10">
      <c r="A49" s="62" t="s">
        <v>72</v>
      </c>
      <c r="B49" s="18">
        <v>45170</v>
      </c>
      <c r="C49" s="18">
        <v>46296</v>
      </c>
      <c r="D49" s="11">
        <v>49000</v>
      </c>
      <c r="E49" s="20">
        <v>8.5000000000000006E-2</v>
      </c>
      <c r="F49" s="11"/>
    </row>
    <row r="50" spans="1:10">
      <c r="A50" s="62" t="s">
        <v>73</v>
      </c>
      <c r="B50" s="18">
        <v>45170</v>
      </c>
      <c r="C50" s="18">
        <v>46296</v>
      </c>
      <c r="D50" s="11">
        <v>49000</v>
      </c>
      <c r="E50" s="20">
        <v>8.5000000000000006E-2</v>
      </c>
      <c r="F50" s="11"/>
    </row>
    <row r="51" spans="1:10">
      <c r="A51" s="62" t="s">
        <v>74</v>
      </c>
      <c r="B51" s="18">
        <v>45170</v>
      </c>
      <c r="C51" s="18">
        <v>46296</v>
      </c>
      <c r="D51" s="11">
        <v>49000</v>
      </c>
      <c r="E51" s="20">
        <v>8.5000000000000006E-2</v>
      </c>
      <c r="F51" s="11"/>
    </row>
    <row r="52" spans="1:10">
      <c r="A52" s="62" t="s">
        <v>75</v>
      </c>
      <c r="B52" s="18">
        <v>45170</v>
      </c>
      <c r="C52" s="18">
        <v>46296</v>
      </c>
      <c r="D52" s="11">
        <v>49000</v>
      </c>
      <c r="E52" s="20">
        <v>8.5000000000000006E-2</v>
      </c>
      <c r="F52" s="11"/>
    </row>
    <row r="53" spans="1:10">
      <c r="A53" s="62" t="s">
        <v>76</v>
      </c>
      <c r="B53" s="18">
        <v>45171</v>
      </c>
      <c r="C53" s="18">
        <v>46296</v>
      </c>
      <c r="D53" s="11">
        <v>49000</v>
      </c>
      <c r="E53" s="20">
        <v>8.5000000000000006E-2</v>
      </c>
      <c r="F53" s="11"/>
    </row>
    <row r="54" spans="1:10">
      <c r="A54" s="62" t="s">
        <v>77</v>
      </c>
      <c r="B54" s="18">
        <v>45170</v>
      </c>
      <c r="C54" s="18">
        <v>46296</v>
      </c>
      <c r="D54" s="11">
        <v>49000</v>
      </c>
      <c r="E54" s="20">
        <v>8.5000000000000006E-2</v>
      </c>
      <c r="F54" s="11"/>
    </row>
    <row r="55" spans="1:10">
      <c r="A55" s="62" t="s">
        <v>78</v>
      </c>
      <c r="B55" s="18">
        <v>45170</v>
      </c>
      <c r="C55" s="18">
        <v>46296</v>
      </c>
      <c r="D55" s="11">
        <v>49000</v>
      </c>
      <c r="E55" s="20">
        <v>8.5000000000000006E-2</v>
      </c>
      <c r="F55" s="11"/>
    </row>
    <row r="56" spans="1:10">
      <c r="A56" s="62" t="s">
        <v>79</v>
      </c>
      <c r="B56" s="18">
        <v>45170</v>
      </c>
      <c r="C56" s="18">
        <v>46296</v>
      </c>
      <c r="D56" s="11">
        <v>49000</v>
      </c>
      <c r="E56" s="20">
        <v>8.5000000000000006E-2</v>
      </c>
      <c r="F56" s="11"/>
    </row>
    <row r="57" spans="1:10">
      <c r="A57" s="62" t="s">
        <v>114</v>
      </c>
      <c r="B57" s="18">
        <v>45648</v>
      </c>
      <c r="C57" s="18">
        <v>46773</v>
      </c>
      <c r="D57" s="11">
        <v>49000</v>
      </c>
      <c r="E57" s="20">
        <v>8.5000000000000006E-2</v>
      </c>
      <c r="F57" s="11"/>
    </row>
    <row r="58" spans="1:10">
      <c r="A58" s="62" t="s">
        <v>184</v>
      </c>
      <c r="B58" s="18">
        <v>45793</v>
      </c>
      <c r="C58" s="18">
        <v>46920</v>
      </c>
      <c r="D58" s="11">
        <v>49000</v>
      </c>
      <c r="E58" s="20"/>
      <c r="F58" s="11"/>
      <c r="J58" s="1"/>
    </row>
    <row r="59" spans="1:10">
      <c r="A59" s="62" t="s">
        <v>225</v>
      </c>
      <c r="B59" s="18">
        <v>45916</v>
      </c>
      <c r="C59" s="18">
        <v>47011</v>
      </c>
      <c r="D59" s="11">
        <v>50000</v>
      </c>
      <c r="E59" s="20">
        <v>0.09</v>
      </c>
    </row>
    <row r="60" spans="1:10">
      <c r="A60" s="62" t="s">
        <v>227</v>
      </c>
      <c r="B60" s="18">
        <v>45944</v>
      </c>
      <c r="C60" s="18">
        <v>47040</v>
      </c>
      <c r="D60" s="11">
        <v>95000</v>
      </c>
      <c r="E60" s="20">
        <v>9.5000000000000001E-2</v>
      </c>
      <c r="J60" s="1"/>
    </row>
    <row r="61" spans="1:10">
      <c r="A61" s="62" t="s">
        <v>228</v>
      </c>
      <c r="B61" s="18">
        <v>45945</v>
      </c>
      <c r="C61" s="18">
        <v>47041</v>
      </c>
      <c r="D61" s="11">
        <v>100000</v>
      </c>
      <c r="E61" s="20">
        <v>9.5000000000000001E-2</v>
      </c>
      <c r="F61" s="11"/>
    </row>
    <row r="62" spans="1:10">
      <c r="F62" s="11"/>
    </row>
    <row r="63" spans="1:10">
      <c r="F63" s="11"/>
    </row>
    <row r="64" spans="1:10">
      <c r="B64" s="1"/>
      <c r="C64" s="1"/>
      <c r="E64" s="70"/>
    </row>
    <row r="66" spans="1:24">
      <c r="A66" s="21" t="s">
        <v>80</v>
      </c>
      <c r="B66" s="11"/>
      <c r="C66" s="11"/>
      <c r="D66" s="11"/>
      <c r="E66" s="11"/>
      <c r="F66" s="11"/>
      <c r="G66" s="9">
        <v>45658</v>
      </c>
      <c r="H66" s="9">
        <v>45689</v>
      </c>
      <c r="I66" s="9">
        <v>45717</v>
      </c>
      <c r="J66" s="9">
        <v>45748</v>
      </c>
      <c r="K66" s="9">
        <v>45778</v>
      </c>
      <c r="L66" s="9">
        <v>45809</v>
      </c>
      <c r="M66" s="9">
        <v>45839</v>
      </c>
      <c r="N66" s="9">
        <v>45870</v>
      </c>
      <c r="O66" s="9">
        <v>45901</v>
      </c>
      <c r="P66" s="9">
        <v>45931</v>
      </c>
      <c r="Q66" s="9">
        <v>45962</v>
      </c>
      <c r="R66" s="9">
        <v>45992</v>
      </c>
      <c r="S66" s="9">
        <v>46023</v>
      </c>
      <c r="T66" s="9">
        <v>46054</v>
      </c>
      <c r="U66" s="9">
        <v>46082</v>
      </c>
      <c r="V66" s="9"/>
    </row>
    <row r="67" spans="1:24">
      <c r="A67" s="69" t="s">
        <v>89</v>
      </c>
      <c r="B67" s="18"/>
      <c r="C67" s="25"/>
      <c r="D67" s="11"/>
      <c r="E67" s="20"/>
      <c r="F67" s="69"/>
      <c r="G67">
        <v>7814</v>
      </c>
      <c r="J67">
        <v>7644</v>
      </c>
      <c r="M67">
        <v>7729</v>
      </c>
      <c r="P67">
        <v>7814</v>
      </c>
    </row>
    <row r="68" spans="1:24">
      <c r="A68" s="11" t="s">
        <v>88</v>
      </c>
      <c r="B68" s="18"/>
      <c r="C68" s="63"/>
      <c r="D68" s="11"/>
      <c r="E68" s="20"/>
      <c r="F68" s="11"/>
      <c r="G68">
        <v>1953</v>
      </c>
      <c r="J68">
        <v>1910</v>
      </c>
      <c r="M68">
        <v>1953</v>
      </c>
      <c r="P68">
        <v>1953</v>
      </c>
      <c r="S68" t="s">
        <v>234</v>
      </c>
    </row>
    <row r="69" spans="1:24">
      <c r="A69" s="11" t="s">
        <v>95</v>
      </c>
      <c r="B69" s="18"/>
      <c r="C69" s="63"/>
      <c r="D69" s="11"/>
      <c r="E69" s="20"/>
      <c r="F69" s="11"/>
      <c r="J69" s="1"/>
    </row>
    <row r="70" spans="1:24">
      <c r="A70" s="23" t="s">
        <v>107</v>
      </c>
      <c r="B70" s="18"/>
      <c r="C70" s="65"/>
      <c r="D70" s="11"/>
      <c r="E70" s="20"/>
      <c r="F70" s="11"/>
    </row>
    <row r="71" spans="1:24">
      <c r="A71" s="11" t="s">
        <v>108</v>
      </c>
      <c r="B71" s="18"/>
      <c r="C71" s="65"/>
      <c r="D71" s="11"/>
      <c r="E71" s="20"/>
      <c r="F71" s="11"/>
      <c r="J71" s="1"/>
    </row>
    <row r="72" spans="1:24">
      <c r="A72" s="11" t="s">
        <v>109</v>
      </c>
      <c r="B72" s="18"/>
      <c r="C72" s="64"/>
      <c r="D72" s="11"/>
      <c r="E72" s="20"/>
      <c r="F72" s="11"/>
      <c r="I72">
        <v>955</v>
      </c>
      <c r="L72">
        <v>976</v>
      </c>
      <c r="O72">
        <v>977</v>
      </c>
      <c r="R72">
        <v>966</v>
      </c>
      <c r="X72">
        <f>SUM(K67:V81,J67:J73)</f>
        <v>169629</v>
      </c>
    </row>
    <row r="73" spans="1:24">
      <c r="A73" s="11" t="s">
        <v>116</v>
      </c>
      <c r="B73" s="18"/>
      <c r="C73" s="66"/>
      <c r="D73" s="11"/>
      <c r="E73" s="20"/>
      <c r="F73" s="11"/>
      <c r="J73">
        <v>2865</v>
      </c>
      <c r="M73">
        <v>2898</v>
      </c>
      <c r="P73">
        <v>2930</v>
      </c>
    </row>
    <row r="74" spans="1:24">
      <c r="A74" s="11" t="s">
        <v>124</v>
      </c>
      <c r="B74" s="18"/>
      <c r="C74" s="63"/>
      <c r="D74" s="11"/>
      <c r="E74" s="20"/>
      <c r="F74" s="11"/>
      <c r="H74" s="1"/>
      <c r="K74">
        <v>1323</v>
      </c>
      <c r="N74">
        <v>1367</v>
      </c>
      <c r="Q74">
        <v>1367</v>
      </c>
    </row>
    <row r="75" spans="1:24">
      <c r="A75" s="11" t="s">
        <v>127</v>
      </c>
      <c r="B75" s="18"/>
      <c r="C75" s="63"/>
      <c r="D75" s="11"/>
      <c r="E75" s="20"/>
      <c r="F75" s="11"/>
      <c r="K75">
        <v>955</v>
      </c>
      <c r="N75">
        <v>977</v>
      </c>
      <c r="Q75">
        <v>977</v>
      </c>
    </row>
    <row r="76" spans="1:24">
      <c r="A76" s="11" t="s">
        <v>134</v>
      </c>
      <c r="B76" s="18"/>
      <c r="C76" s="63"/>
      <c r="D76" s="11"/>
      <c r="E76" s="20"/>
      <c r="F76" s="11"/>
      <c r="H76" s="1"/>
      <c r="L76">
        <v>1016</v>
      </c>
      <c r="O76">
        <v>1016</v>
      </c>
      <c r="R76" t="s">
        <v>234</v>
      </c>
    </row>
    <row r="77" spans="1:24">
      <c r="A77" s="11" t="s">
        <v>233</v>
      </c>
      <c r="B77" s="18">
        <v>45769</v>
      </c>
      <c r="C77" s="18">
        <v>47595</v>
      </c>
      <c r="D77" s="11">
        <v>1000000</v>
      </c>
      <c r="E77" s="20">
        <v>8.199999999999999E-2</v>
      </c>
      <c r="F77" s="11"/>
      <c r="M77">
        <v>15769</v>
      </c>
      <c r="P77">
        <v>20500</v>
      </c>
      <c r="S77">
        <v>20500</v>
      </c>
    </row>
    <row r="78" spans="1:24">
      <c r="A78" s="11" t="s">
        <v>170</v>
      </c>
      <c r="B78" s="18">
        <v>45792</v>
      </c>
      <c r="C78" s="18">
        <v>47618</v>
      </c>
      <c r="D78" s="11">
        <v>900000</v>
      </c>
      <c r="E78" s="20">
        <v>8.199999999999999E-2</v>
      </c>
      <c r="F78" s="11"/>
      <c r="M78">
        <v>9529</v>
      </c>
      <c r="P78">
        <v>18450</v>
      </c>
      <c r="S78">
        <v>18450</v>
      </c>
    </row>
    <row r="79" spans="1:24">
      <c r="A79" s="11" t="s">
        <v>171</v>
      </c>
      <c r="B79" s="18">
        <v>45794</v>
      </c>
      <c r="C79" s="18">
        <v>46238</v>
      </c>
      <c r="D79" s="11">
        <v>250000</v>
      </c>
      <c r="E79" s="20">
        <v>7.7499999999999999E-2</v>
      </c>
      <c r="F79" s="11" t="s">
        <v>172</v>
      </c>
      <c r="H79" s="15" t="s">
        <v>190</v>
      </c>
      <c r="K79">
        <v>4884</v>
      </c>
      <c r="N79">
        <v>4884</v>
      </c>
      <c r="Q79">
        <v>4884</v>
      </c>
    </row>
    <row r="80" spans="1:24">
      <c r="A80" s="11" t="s">
        <v>185</v>
      </c>
      <c r="B80" s="18">
        <v>45849</v>
      </c>
      <c r="C80" s="18">
        <v>46293</v>
      </c>
      <c r="D80" s="11">
        <v>55000</v>
      </c>
      <c r="E80" s="20">
        <v>7.0999999999999994E-2</v>
      </c>
      <c r="F80" s="11" t="s">
        <v>172</v>
      </c>
      <c r="H80" s="15" t="s">
        <v>190</v>
      </c>
      <c r="P80">
        <v>984</v>
      </c>
    </row>
    <row r="81" spans="1:20">
      <c r="A81" s="11" t="s">
        <v>191</v>
      </c>
      <c r="B81" s="18">
        <v>45880</v>
      </c>
      <c r="C81" s="18">
        <v>46324</v>
      </c>
      <c r="D81" s="11">
        <v>55000</v>
      </c>
      <c r="E81" s="20">
        <v>7.0000000000000007E-2</v>
      </c>
      <c r="F81" s="11" t="s">
        <v>172</v>
      </c>
      <c r="H81" t="s">
        <v>192</v>
      </c>
      <c r="Q81">
        <v>1182</v>
      </c>
    </row>
    <row r="83" spans="1:20">
      <c r="A83" s="62" t="s">
        <v>231</v>
      </c>
      <c r="B83" s="11"/>
      <c r="C83" s="11"/>
    </row>
    <row r="84" spans="1:20">
      <c r="A84" s="11">
        <v>20182378659</v>
      </c>
      <c r="B84" s="11"/>
      <c r="C84" s="11"/>
      <c r="D84" s="11">
        <v>900000</v>
      </c>
      <c r="E84" s="20">
        <v>7.3999999999999996E-2</v>
      </c>
      <c r="F84" s="11"/>
      <c r="J84">
        <v>3000000</v>
      </c>
      <c r="K84">
        <f>(8.2/100)</f>
        <v>8.199999999999999E-2</v>
      </c>
      <c r="L84">
        <f>J84*K84</f>
        <v>245999.99999999997</v>
      </c>
      <c r="M84">
        <f>L84/12</f>
        <v>20499.999999999996</v>
      </c>
      <c r="T84">
        <v>132000</v>
      </c>
    </row>
    <row r="85" spans="1:20">
      <c r="A85" t="s">
        <v>235</v>
      </c>
      <c r="B85">
        <v>20195366872</v>
      </c>
      <c r="D85">
        <v>400000</v>
      </c>
      <c r="E85" s="11"/>
      <c r="F85" s="11"/>
      <c r="M85">
        <v>36000</v>
      </c>
      <c r="T85">
        <v>52000</v>
      </c>
    </row>
    <row r="86" spans="1:20">
      <c r="A86" s="11" t="s">
        <v>235</v>
      </c>
      <c r="B86" s="11">
        <v>20198288268</v>
      </c>
      <c r="C86" s="11"/>
      <c r="D86" s="11">
        <v>400000</v>
      </c>
      <c r="E86" s="11"/>
      <c r="F86" s="11"/>
      <c r="M86">
        <v>6000</v>
      </c>
      <c r="T86">
        <v>11000</v>
      </c>
    </row>
    <row r="87" spans="1:20">
      <c r="A87" s="11" t="s">
        <v>235</v>
      </c>
      <c r="B87" s="11">
        <v>20216020979</v>
      </c>
      <c r="C87" s="11"/>
      <c r="D87" s="11">
        <v>300000</v>
      </c>
      <c r="E87" s="11"/>
      <c r="F87" s="11"/>
      <c r="M87">
        <v>16000</v>
      </c>
    </row>
    <row r="88" spans="1:20">
      <c r="A88" s="11" t="s">
        <v>235</v>
      </c>
      <c r="B88">
        <v>20222932450</v>
      </c>
      <c r="C88" s="11"/>
      <c r="D88" s="11">
        <v>250000</v>
      </c>
      <c r="E88" s="11"/>
      <c r="F88" s="11"/>
      <c r="M88">
        <v>5550</v>
      </c>
    </row>
    <row r="89" spans="1:20">
      <c r="M89">
        <f>SUM(M84:M88)</f>
        <v>84050</v>
      </c>
      <c r="N89">
        <f>M89*12</f>
        <v>1008600</v>
      </c>
    </row>
    <row r="90" spans="1:20">
      <c r="E90">
        <f>(D84*0.074)/12</f>
        <v>5550</v>
      </c>
      <c r="F90">
        <f>E90*3</f>
        <v>16650</v>
      </c>
    </row>
    <row r="91" spans="1:20">
      <c r="B91" s="5"/>
    </row>
    <row r="93" spans="1:20">
      <c r="D93">
        <f>SUM(D2:D92)</f>
        <v>8160000</v>
      </c>
    </row>
    <row r="96" spans="1:20">
      <c r="B96" s="5">
        <v>1350000</v>
      </c>
      <c r="C96" s="5">
        <v>900000</v>
      </c>
      <c r="D96" s="5">
        <v>3000000</v>
      </c>
    </row>
    <row r="97" spans="1:20">
      <c r="A97" s="72">
        <v>46410</v>
      </c>
      <c r="B97">
        <v>30854</v>
      </c>
      <c r="C97">
        <v>5500</v>
      </c>
      <c r="D97">
        <v>61500</v>
      </c>
      <c r="E97" s="72">
        <v>46775</v>
      </c>
      <c r="F97">
        <v>30854</v>
      </c>
      <c r="G97">
        <v>5500</v>
      </c>
      <c r="H97">
        <v>61500</v>
      </c>
      <c r="I97" s="71">
        <v>47119</v>
      </c>
      <c r="J97">
        <v>30854</v>
      </c>
      <c r="K97">
        <v>5500</v>
      </c>
      <c r="L97">
        <v>61500</v>
      </c>
      <c r="M97" s="71">
        <v>47484</v>
      </c>
      <c r="N97">
        <v>30854</v>
      </c>
      <c r="O97">
        <v>5500</v>
      </c>
      <c r="P97">
        <v>61500</v>
      </c>
      <c r="Q97" s="71">
        <v>47849</v>
      </c>
      <c r="R97">
        <v>30854</v>
      </c>
      <c r="T97" s="5">
        <f>SUM(B97:D97)</f>
        <v>97854</v>
      </c>
    </row>
    <row r="98" spans="1:20">
      <c r="A98" s="72">
        <v>46423</v>
      </c>
      <c r="B98">
        <v>30854</v>
      </c>
      <c r="C98">
        <v>5500</v>
      </c>
      <c r="E98" s="72">
        <v>46788</v>
      </c>
      <c r="F98">
        <v>30854</v>
      </c>
      <c r="G98">
        <v>5500</v>
      </c>
      <c r="I98" s="71">
        <v>47150</v>
      </c>
      <c r="J98">
        <v>30854</v>
      </c>
      <c r="K98">
        <v>5500</v>
      </c>
      <c r="M98" s="71">
        <v>47515</v>
      </c>
      <c r="N98">
        <v>30854</v>
      </c>
      <c r="O98">
        <v>5500</v>
      </c>
      <c r="Q98" s="71">
        <v>47880</v>
      </c>
      <c r="R98">
        <v>30854</v>
      </c>
      <c r="T98" s="5">
        <f>SUM(B98:D98)</f>
        <v>36354</v>
      </c>
    </row>
    <row r="99" spans="1:20">
      <c r="A99" s="72">
        <v>46447</v>
      </c>
      <c r="B99">
        <v>0</v>
      </c>
      <c r="C99">
        <v>5500</v>
      </c>
      <c r="E99" s="72">
        <v>46813</v>
      </c>
      <c r="F99">
        <v>0</v>
      </c>
      <c r="G99">
        <v>5500</v>
      </c>
      <c r="I99" s="71">
        <v>47178</v>
      </c>
      <c r="J99">
        <v>0</v>
      </c>
      <c r="K99">
        <v>5500</v>
      </c>
      <c r="M99" s="71">
        <v>47543</v>
      </c>
      <c r="N99">
        <v>0</v>
      </c>
      <c r="O99">
        <v>5500</v>
      </c>
      <c r="Q99" s="71">
        <v>47908</v>
      </c>
      <c r="R99">
        <v>0</v>
      </c>
      <c r="T99" s="5">
        <f t="shared" ref="T99:T108" si="0">SUM(B99:D99)</f>
        <v>5500</v>
      </c>
    </row>
    <row r="100" spans="1:20">
      <c r="A100" s="72">
        <v>46123</v>
      </c>
      <c r="B100">
        <v>23140</v>
      </c>
      <c r="C100">
        <v>5500</v>
      </c>
      <c r="D100">
        <v>61500</v>
      </c>
      <c r="E100" s="72">
        <v>46854</v>
      </c>
      <c r="F100">
        <v>23140</v>
      </c>
      <c r="G100">
        <v>5500</v>
      </c>
      <c r="H100">
        <v>61500</v>
      </c>
      <c r="I100" s="71">
        <v>47209</v>
      </c>
      <c r="J100">
        <v>23140</v>
      </c>
      <c r="K100">
        <v>5500</v>
      </c>
      <c r="L100">
        <v>61500</v>
      </c>
      <c r="M100" s="71">
        <v>47574</v>
      </c>
      <c r="N100">
        <v>23140</v>
      </c>
      <c r="O100">
        <v>5500</v>
      </c>
      <c r="P100">
        <v>61500</v>
      </c>
      <c r="Q100" s="71">
        <v>47939</v>
      </c>
      <c r="R100">
        <v>23140</v>
      </c>
      <c r="T100" s="5">
        <f t="shared" si="0"/>
        <v>90140</v>
      </c>
    </row>
    <row r="101" spans="1:20">
      <c r="A101" s="72">
        <v>46508</v>
      </c>
      <c r="B101">
        <v>0</v>
      </c>
      <c r="C101">
        <v>5500</v>
      </c>
      <c r="E101" s="72">
        <v>46874</v>
      </c>
      <c r="G101">
        <v>5500</v>
      </c>
      <c r="I101" s="71">
        <v>47239</v>
      </c>
      <c r="K101">
        <v>5500</v>
      </c>
      <c r="M101" s="71">
        <v>47604</v>
      </c>
      <c r="O101">
        <v>5500</v>
      </c>
      <c r="Q101" s="71">
        <v>47969</v>
      </c>
      <c r="T101" s="5">
        <f t="shared" si="0"/>
        <v>5500</v>
      </c>
    </row>
    <row r="102" spans="1:20">
      <c r="A102" s="72">
        <v>46540</v>
      </c>
      <c r="B102">
        <v>19284</v>
      </c>
      <c r="C102">
        <v>5500</v>
      </c>
      <c r="E102" s="72">
        <v>46906</v>
      </c>
      <c r="F102">
        <v>19284</v>
      </c>
      <c r="G102">
        <v>5500</v>
      </c>
      <c r="I102" s="71">
        <v>47270</v>
      </c>
      <c r="J102">
        <v>19284</v>
      </c>
      <c r="K102">
        <v>5500</v>
      </c>
      <c r="M102" s="71">
        <v>47635</v>
      </c>
      <c r="N102">
        <v>19284</v>
      </c>
      <c r="O102">
        <v>5500</v>
      </c>
      <c r="Q102" s="71">
        <v>48000</v>
      </c>
      <c r="R102">
        <v>19284</v>
      </c>
      <c r="T102" s="5">
        <f t="shared" si="0"/>
        <v>24784</v>
      </c>
    </row>
    <row r="103" spans="1:20">
      <c r="A103" s="72">
        <v>46569</v>
      </c>
      <c r="B103" s="15">
        <v>7713.5</v>
      </c>
      <c r="C103">
        <v>5500</v>
      </c>
      <c r="D103">
        <v>61500</v>
      </c>
      <c r="E103" s="72">
        <v>46935</v>
      </c>
      <c r="G103">
        <v>5500</v>
      </c>
      <c r="H103">
        <v>61500</v>
      </c>
      <c r="I103" s="71">
        <v>47300</v>
      </c>
      <c r="K103">
        <v>5500</v>
      </c>
      <c r="L103">
        <v>61500</v>
      </c>
      <c r="M103" s="71">
        <v>47665</v>
      </c>
      <c r="O103">
        <v>5500</v>
      </c>
      <c r="P103">
        <v>61500</v>
      </c>
      <c r="Q103" s="71">
        <v>48030</v>
      </c>
      <c r="T103" s="5">
        <f t="shared" si="0"/>
        <v>74713.5</v>
      </c>
    </row>
    <row r="104" spans="1:20">
      <c r="A104" s="72">
        <v>46600</v>
      </c>
      <c r="B104" s="15">
        <v>19284</v>
      </c>
      <c r="C104">
        <v>5500</v>
      </c>
      <c r="E104" s="72">
        <v>46966</v>
      </c>
      <c r="G104">
        <v>5500</v>
      </c>
      <c r="I104" s="71">
        <v>47331</v>
      </c>
      <c r="K104">
        <v>5500</v>
      </c>
      <c r="M104" s="71">
        <v>47696</v>
      </c>
      <c r="O104">
        <v>5500</v>
      </c>
      <c r="Q104" s="71">
        <v>48061</v>
      </c>
      <c r="T104" s="5">
        <f t="shared" si="0"/>
        <v>24784</v>
      </c>
    </row>
    <row r="105" spans="1:20">
      <c r="A105" s="72">
        <v>46631</v>
      </c>
      <c r="B105" s="15">
        <v>3850</v>
      </c>
      <c r="C105">
        <v>5500</v>
      </c>
      <c r="E105" s="72">
        <v>46997</v>
      </c>
      <c r="G105">
        <v>5500</v>
      </c>
      <c r="I105" s="71">
        <v>47362</v>
      </c>
      <c r="K105">
        <v>5500</v>
      </c>
      <c r="M105" s="71">
        <v>47727</v>
      </c>
      <c r="O105">
        <v>5500</v>
      </c>
      <c r="Q105" s="71">
        <v>48092</v>
      </c>
      <c r="T105" s="5">
        <f t="shared" si="0"/>
        <v>9350</v>
      </c>
    </row>
    <row r="106" spans="1:20">
      <c r="A106" s="72">
        <v>46661</v>
      </c>
      <c r="B106" s="15">
        <v>13499</v>
      </c>
      <c r="C106">
        <v>5500</v>
      </c>
      <c r="D106">
        <v>61500</v>
      </c>
      <c r="E106" s="72">
        <v>47027</v>
      </c>
      <c r="G106">
        <v>5500</v>
      </c>
      <c r="H106">
        <v>61500</v>
      </c>
      <c r="I106" s="71">
        <v>47392</v>
      </c>
      <c r="K106">
        <v>5500</v>
      </c>
      <c r="L106">
        <v>61500</v>
      </c>
      <c r="M106" s="71">
        <v>47757</v>
      </c>
      <c r="O106">
        <v>5500</v>
      </c>
      <c r="P106">
        <v>61500</v>
      </c>
      <c r="Q106" s="71">
        <v>48122</v>
      </c>
      <c r="T106" s="5">
        <f t="shared" si="0"/>
        <v>80499</v>
      </c>
    </row>
    <row r="107" spans="1:20">
      <c r="A107" s="72">
        <v>46692</v>
      </c>
      <c r="C107">
        <v>5500</v>
      </c>
      <c r="E107" s="72">
        <v>47058</v>
      </c>
      <c r="G107">
        <v>5500</v>
      </c>
      <c r="I107" s="71">
        <v>47423</v>
      </c>
      <c r="K107">
        <v>5500</v>
      </c>
      <c r="M107" s="71">
        <v>47788</v>
      </c>
      <c r="O107">
        <v>5500</v>
      </c>
      <c r="Q107" s="71">
        <v>48153</v>
      </c>
      <c r="T107" s="5">
        <f t="shared" si="0"/>
        <v>5500</v>
      </c>
    </row>
    <row r="108" spans="1:20">
      <c r="A108" s="72">
        <v>46722</v>
      </c>
      <c r="C108">
        <v>5500</v>
      </c>
      <c r="E108" s="72">
        <v>47088</v>
      </c>
      <c r="G108">
        <v>5500</v>
      </c>
      <c r="I108" s="71">
        <v>47453</v>
      </c>
      <c r="K108">
        <v>5500</v>
      </c>
      <c r="M108" s="71">
        <v>47818</v>
      </c>
      <c r="O108">
        <v>5500</v>
      </c>
      <c r="Q108" s="71">
        <v>48183</v>
      </c>
      <c r="T108" s="5">
        <f t="shared" si="0"/>
        <v>5500</v>
      </c>
    </row>
    <row r="110" spans="1:20">
      <c r="T110" s="5">
        <f>SUM(T97:T109)</f>
        <v>460478.5</v>
      </c>
    </row>
    <row r="111" spans="1:20">
      <c r="B111">
        <v>20500</v>
      </c>
      <c r="C111">
        <f>30854/4</f>
        <v>7713.5</v>
      </c>
      <c r="D111">
        <f>C111*3</f>
        <v>23140.5</v>
      </c>
      <c r="E111">
        <f>D111/12</f>
        <v>1928.375</v>
      </c>
      <c r="T111">
        <f>T110/12</f>
        <v>38373.208333333336</v>
      </c>
    </row>
    <row r="112" spans="1:20">
      <c r="B112">
        <v>5500</v>
      </c>
      <c r="T112">
        <v>6000</v>
      </c>
    </row>
    <row r="113" spans="2:20">
      <c r="B113">
        <v>5142</v>
      </c>
      <c r="J113">
        <f>30854/4</f>
        <v>7713.5</v>
      </c>
      <c r="K113">
        <f>J113*2.5</f>
        <v>19283.75</v>
      </c>
      <c r="T113">
        <v>12000</v>
      </c>
    </row>
    <row r="114" spans="2:20">
      <c r="B114">
        <v>16000</v>
      </c>
      <c r="T114">
        <v>16000</v>
      </c>
    </row>
    <row r="115" spans="2:20">
      <c r="B115">
        <v>1928</v>
      </c>
      <c r="T115">
        <f>SUM(T111:T114)</f>
        <v>72373.208333333343</v>
      </c>
    </row>
    <row r="116" spans="2:20">
      <c r="T116">
        <f>T115*12</f>
        <v>868478.50000000012</v>
      </c>
    </row>
    <row r="117" spans="2:20">
      <c r="B117">
        <f>SUM(B97:D108)</f>
        <v>460478.5</v>
      </c>
      <c r="C117">
        <v>216000</v>
      </c>
    </row>
    <row r="118" spans="2:20">
      <c r="B118">
        <f>B117/12</f>
        <v>38373.208333333336</v>
      </c>
    </row>
    <row r="121" spans="2:20">
      <c r="B121">
        <v>77135</v>
      </c>
    </row>
    <row r="122" spans="2:20">
      <c r="B122">
        <v>77135</v>
      </c>
    </row>
    <row r="123" spans="2:20">
      <c r="B123">
        <v>77135</v>
      </c>
    </row>
    <row r="124" spans="2:20">
      <c r="B124">
        <v>77135</v>
      </c>
    </row>
    <row r="125" spans="2:20">
      <c r="B125">
        <v>77135</v>
      </c>
    </row>
    <row r="126" spans="2:20">
      <c r="B126">
        <v>77135</v>
      </c>
    </row>
    <row r="127" spans="2:20">
      <c r="B127">
        <v>77135</v>
      </c>
    </row>
    <row r="128" spans="2:20">
      <c r="B128">
        <v>77135</v>
      </c>
    </row>
    <row r="129" spans="2:2">
      <c r="B129">
        <v>77135</v>
      </c>
    </row>
    <row r="130" spans="2:2">
      <c r="B130">
        <v>77135</v>
      </c>
    </row>
    <row r="131" spans="2:2">
      <c r="B131">
        <v>77135</v>
      </c>
    </row>
    <row r="132" spans="2:2">
      <c r="B132">
        <v>77135</v>
      </c>
    </row>
  </sheetData>
  <phoneticPr fontId="2" type="noConversion"/>
  <hyperlinks>
    <hyperlink ref="B88" r:id="rId1" tooltip="View Details" display="https://ebanking.indiapost.gov.in/corp/Finacle;jsessionid=0000RapsQKDoL_lCqroYlzxTXT4:185s9fpmp?bwayparam=YaoD7lr%2Fdl6kDkAkrurLes2Jx92yIrK92YFFa3frMTVbhQdHnE6fstALqk3egHpdr585TWVSI4ER0X%2Be4QGsudjK5zY4RIlkrLDjSTKl3FNTO9Q13uzArVxxc4izbs0k%0D%0ApnvGISqy6AzyJ58%2Bdk%2F5cAJc5PZmU0qWy4CIHVXrNCI%3D" xr:uid="{6A0E39F9-6C31-4049-A88E-713FCCF1B244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9A6A-86B8-43E1-A590-1EEB6C3DE43A}">
  <dimension ref="A1:N34"/>
  <sheetViews>
    <sheetView workbookViewId="0">
      <selection activeCell="H1" sqref="H1:H34"/>
    </sheetView>
  </sheetViews>
  <sheetFormatPr defaultRowHeight="14.4"/>
  <cols>
    <col min="1" max="1" width="15.21875" bestFit="1" customWidth="1"/>
    <col min="2" max="2" width="9.33203125" bestFit="1" customWidth="1"/>
    <col min="3" max="3" width="56.21875" bestFit="1" customWidth="1"/>
    <col min="4" max="4" width="35.109375" bestFit="1" customWidth="1"/>
    <col min="5" max="5" width="2" bestFit="1" customWidth="1"/>
    <col min="6" max="6" width="3.88671875" bestFit="1" customWidth="1"/>
    <col min="8" max="8" width="9.109375" bestFit="1" customWidth="1"/>
    <col min="10" max="10" width="9.109375" bestFit="1" customWidth="1"/>
    <col min="12" max="12" width="7" bestFit="1" customWidth="1"/>
    <col min="14" max="14" width="12" bestFit="1" customWidth="1"/>
  </cols>
  <sheetData>
    <row r="1" spans="1:14">
      <c r="A1" s="26">
        <v>45763.197222000003</v>
      </c>
      <c r="B1" s="27">
        <v>45763</v>
      </c>
      <c r="C1" s="28"/>
      <c r="D1" s="29" t="s">
        <v>206</v>
      </c>
      <c r="E1" s="30" t="s">
        <v>207</v>
      </c>
      <c r="F1" s="31">
        <v>786</v>
      </c>
      <c r="G1" s="28"/>
      <c r="H1" s="32">
        <v>1910</v>
      </c>
    </row>
    <row r="2" spans="1:14">
      <c r="A2" s="26">
        <v>45768.081250000003</v>
      </c>
      <c r="B2" s="27">
        <v>45768</v>
      </c>
      <c r="C2" s="28"/>
      <c r="D2" s="29" t="s">
        <v>208</v>
      </c>
      <c r="E2" s="30" t="s">
        <v>207</v>
      </c>
      <c r="F2" s="31">
        <v>786</v>
      </c>
      <c r="G2" s="28"/>
      <c r="H2" s="32">
        <v>2866</v>
      </c>
    </row>
    <row r="3" spans="1:14">
      <c r="A3" s="33">
        <v>45753</v>
      </c>
      <c r="B3" s="33">
        <v>45753</v>
      </c>
      <c r="C3" s="34" t="s">
        <v>209</v>
      </c>
      <c r="D3" s="34" t="s">
        <v>210</v>
      </c>
      <c r="E3" s="34" t="s">
        <v>211</v>
      </c>
      <c r="F3" s="34"/>
      <c r="G3" s="35"/>
      <c r="H3" s="32">
        <v>931</v>
      </c>
      <c r="L3">
        <v>275000</v>
      </c>
    </row>
    <row r="4" spans="1:14">
      <c r="A4" s="33">
        <v>45758</v>
      </c>
      <c r="B4" s="33">
        <v>45758</v>
      </c>
      <c r="H4" s="32">
        <v>702</v>
      </c>
    </row>
    <row r="5" spans="1:14">
      <c r="A5" s="33">
        <v>45761</v>
      </c>
      <c r="B5" s="33">
        <v>45761</v>
      </c>
      <c r="H5" s="32">
        <v>949</v>
      </c>
      <c r="J5" s="35">
        <f>SUM(H1:H8)</f>
        <v>11567</v>
      </c>
    </row>
    <row r="6" spans="1:14">
      <c r="A6" s="33">
        <v>45768</v>
      </c>
      <c r="B6" s="33">
        <v>45768</v>
      </c>
      <c r="H6" s="32">
        <v>1630</v>
      </c>
    </row>
    <row r="7" spans="1:14">
      <c r="A7" s="33">
        <v>45768</v>
      </c>
      <c r="B7" s="33">
        <v>45768</v>
      </c>
      <c r="H7" s="32">
        <v>1630</v>
      </c>
    </row>
    <row r="8" spans="1:14">
      <c r="A8" s="33">
        <v>45773</v>
      </c>
      <c r="B8" s="33">
        <v>45773</v>
      </c>
      <c r="H8" s="32">
        <v>949</v>
      </c>
    </row>
    <row r="9" spans="1:14">
      <c r="A9" s="26">
        <v>45788.361110999998</v>
      </c>
      <c r="B9" s="27">
        <v>45788</v>
      </c>
      <c r="C9" s="28"/>
      <c r="D9" s="29" t="s">
        <v>212</v>
      </c>
      <c r="E9" s="30" t="s">
        <v>207</v>
      </c>
      <c r="F9" s="31">
        <v>786</v>
      </c>
      <c r="G9" s="28"/>
      <c r="H9" s="36">
        <v>1323</v>
      </c>
    </row>
    <row r="10" spans="1:14">
      <c r="A10" s="26">
        <v>45789.069444000001</v>
      </c>
      <c r="B10" s="27">
        <v>45789</v>
      </c>
      <c r="C10" s="28"/>
      <c r="D10" s="29" t="s">
        <v>213</v>
      </c>
      <c r="E10" s="30" t="s">
        <v>207</v>
      </c>
      <c r="F10" s="31">
        <v>786</v>
      </c>
      <c r="G10" s="28"/>
      <c r="H10" s="37">
        <v>945</v>
      </c>
    </row>
    <row r="11" spans="1:14" ht="14.4" customHeight="1">
      <c r="A11" s="38"/>
      <c r="B11" s="27">
        <v>45788</v>
      </c>
      <c r="C11" s="39"/>
      <c r="D11" s="40"/>
      <c r="E11" s="40"/>
      <c r="F11" s="41"/>
      <c r="G11" s="39"/>
      <c r="H11" s="36">
        <v>361</v>
      </c>
      <c r="J11" s="35">
        <f>SUM(H9:H12)</f>
        <v>16192</v>
      </c>
      <c r="N11" s="35">
        <f>SUM(L3,J5,J11,J16,J26,J31,J34)</f>
        <v>391250</v>
      </c>
    </row>
    <row r="12" spans="1:14" ht="14.4" customHeight="1">
      <c r="A12" s="38"/>
      <c r="B12" s="27">
        <v>45793</v>
      </c>
      <c r="C12" s="39"/>
      <c r="D12" s="40"/>
      <c r="E12" s="40"/>
      <c r="F12" s="41"/>
      <c r="G12" s="39"/>
      <c r="H12" s="36">
        <v>13563</v>
      </c>
      <c r="N12">
        <f>N11/6</f>
        <v>65208.333333333336</v>
      </c>
    </row>
    <row r="13" spans="1:14">
      <c r="A13" s="26">
        <v>45820.218055999998</v>
      </c>
      <c r="B13" s="42">
        <v>45820</v>
      </c>
      <c r="C13" s="28"/>
      <c r="D13" s="29" t="s">
        <v>214</v>
      </c>
      <c r="E13" s="30" t="s">
        <v>207</v>
      </c>
      <c r="F13" s="31">
        <v>786</v>
      </c>
      <c r="G13" s="28"/>
      <c r="H13" s="43">
        <v>976</v>
      </c>
    </row>
    <row r="14" spans="1:14">
      <c r="A14" s="26">
        <v>45821.344444000002</v>
      </c>
      <c r="B14" s="42">
        <v>45821</v>
      </c>
      <c r="C14" s="28"/>
      <c r="D14" s="29" t="s">
        <v>215</v>
      </c>
      <c r="E14" s="30" t="s">
        <v>207</v>
      </c>
      <c r="F14" s="31">
        <v>786</v>
      </c>
      <c r="G14" s="28"/>
      <c r="H14" s="44">
        <v>1016</v>
      </c>
    </row>
    <row r="15" spans="1:14">
      <c r="A15" s="26">
        <v>45836.090971999998</v>
      </c>
      <c r="B15" s="42">
        <v>45835</v>
      </c>
      <c r="C15" s="45"/>
      <c r="D15" s="73" t="s">
        <v>216</v>
      </c>
      <c r="E15" s="74"/>
      <c r="F15" s="31">
        <v>786</v>
      </c>
      <c r="G15" s="45"/>
      <c r="H15" s="44">
        <v>2752</v>
      </c>
    </row>
    <row r="16" spans="1:14">
      <c r="B16" s="48">
        <v>45829</v>
      </c>
      <c r="H16" s="43">
        <v>927</v>
      </c>
      <c r="J16" s="49">
        <f>SUM(H13:H17)</f>
        <v>22522</v>
      </c>
    </row>
    <row r="17" spans="1:10">
      <c r="B17" s="48">
        <v>45838</v>
      </c>
      <c r="C17" s="45"/>
      <c r="D17" s="46"/>
      <c r="E17" s="47"/>
      <c r="F17" s="31"/>
      <c r="G17" s="45"/>
      <c r="H17" s="43">
        <v>16851</v>
      </c>
    </row>
    <row r="18" spans="1:10" ht="20.399999999999999">
      <c r="A18" s="26">
        <v>45839.695139000003</v>
      </c>
      <c r="B18" s="27">
        <v>45839</v>
      </c>
      <c r="C18" s="50">
        <v>0</v>
      </c>
      <c r="D18" s="46" t="s">
        <v>217</v>
      </c>
      <c r="E18" s="47"/>
      <c r="F18" s="31">
        <v>1953</v>
      </c>
      <c r="G18" s="45"/>
      <c r="H18" s="51">
        <v>15769</v>
      </c>
    </row>
    <row r="19" spans="1:10" ht="20.399999999999999">
      <c r="A19" s="26">
        <v>45839.695139000003</v>
      </c>
      <c r="B19" s="27">
        <v>45839</v>
      </c>
      <c r="C19" s="50">
        <v>0</v>
      </c>
      <c r="D19" s="46" t="s">
        <v>218</v>
      </c>
      <c r="E19" s="47"/>
      <c r="F19" s="31">
        <v>1953</v>
      </c>
      <c r="G19" s="45"/>
      <c r="H19" s="51">
        <v>9529</v>
      </c>
    </row>
    <row r="20" spans="1:10">
      <c r="A20" s="26">
        <v>45841.211110999997</v>
      </c>
      <c r="B20" s="27">
        <v>45841</v>
      </c>
      <c r="C20" s="28"/>
      <c r="D20" s="29" t="s">
        <v>219</v>
      </c>
      <c r="E20" s="30"/>
      <c r="F20" s="31">
        <v>786</v>
      </c>
      <c r="G20" s="28"/>
      <c r="H20" s="51">
        <v>7729</v>
      </c>
    </row>
    <row r="21" spans="1:10">
      <c r="A21" s="26">
        <v>45854.168056000002</v>
      </c>
      <c r="B21" s="27">
        <v>45854</v>
      </c>
      <c r="C21" s="28"/>
      <c r="D21" s="29" t="s">
        <v>220</v>
      </c>
      <c r="E21" s="30"/>
      <c r="F21" s="31">
        <v>786</v>
      </c>
      <c r="G21" s="28"/>
      <c r="H21" s="51">
        <v>1932</v>
      </c>
    </row>
    <row r="22" spans="1:10">
      <c r="A22" s="26">
        <v>45859.091667000001</v>
      </c>
      <c r="B22" s="27">
        <v>45859</v>
      </c>
      <c r="C22" s="28"/>
      <c r="D22" s="29" t="s">
        <v>221</v>
      </c>
      <c r="E22" s="30"/>
      <c r="F22" s="31">
        <v>786</v>
      </c>
      <c r="G22" s="28"/>
      <c r="H22" s="51">
        <v>2898</v>
      </c>
    </row>
    <row r="23" spans="1:10">
      <c r="A23" s="26"/>
      <c r="B23" s="52">
        <v>45852</v>
      </c>
      <c r="C23" s="28"/>
      <c r="D23" s="29"/>
      <c r="E23" s="30"/>
      <c r="F23" s="31"/>
      <c r="G23" s="28"/>
      <c r="H23" s="53">
        <v>949</v>
      </c>
    </row>
    <row r="24" spans="1:10">
      <c r="A24" s="26"/>
      <c r="B24" s="52">
        <v>45855</v>
      </c>
      <c r="C24" s="28"/>
      <c r="D24" s="29"/>
      <c r="E24" s="30"/>
      <c r="F24" s="31"/>
      <c r="G24" s="28"/>
      <c r="H24" s="53">
        <v>771</v>
      </c>
    </row>
    <row r="25" spans="1:10">
      <c r="A25" s="26"/>
      <c r="B25" s="52">
        <v>45855</v>
      </c>
      <c r="C25" s="28"/>
      <c r="D25" s="29"/>
      <c r="E25" s="30"/>
      <c r="F25" s="31"/>
      <c r="G25" s="28"/>
      <c r="H25" s="53">
        <v>771</v>
      </c>
    </row>
    <row r="26" spans="1:10">
      <c r="A26" s="26"/>
      <c r="B26" s="52">
        <v>45864</v>
      </c>
      <c r="C26" s="28"/>
      <c r="D26" s="29"/>
      <c r="E26" s="30"/>
      <c r="F26" s="31"/>
      <c r="G26" s="28"/>
      <c r="H26" s="53">
        <v>949</v>
      </c>
      <c r="J26" s="35">
        <f>SUM(H18:H27)</f>
        <v>43185</v>
      </c>
    </row>
    <row r="27" spans="1:10">
      <c r="A27" s="26"/>
      <c r="B27" s="52">
        <v>45866</v>
      </c>
      <c r="C27" s="28"/>
      <c r="D27" s="29"/>
      <c r="E27" s="30"/>
      <c r="F27" s="31"/>
      <c r="G27" s="28"/>
      <c r="H27" s="54">
        <v>1888</v>
      </c>
    </row>
    <row r="28" spans="1:10">
      <c r="A28" s="26"/>
      <c r="B28" s="55">
        <v>45885</v>
      </c>
      <c r="C28" s="28"/>
      <c r="D28" s="29"/>
      <c r="E28" s="30"/>
      <c r="F28" s="31"/>
      <c r="G28" s="28"/>
      <c r="H28" s="56">
        <v>13563</v>
      </c>
    </row>
    <row r="29" spans="1:10">
      <c r="A29" s="26">
        <v>45880.121528000003</v>
      </c>
      <c r="B29" s="57">
        <v>45880</v>
      </c>
      <c r="C29" s="28"/>
      <c r="D29" s="29" t="s">
        <v>222</v>
      </c>
      <c r="E29" s="30"/>
      <c r="F29" s="31">
        <v>786</v>
      </c>
      <c r="G29" s="28"/>
      <c r="H29" s="58">
        <v>1367</v>
      </c>
    </row>
    <row r="30" spans="1:10">
      <c r="A30" s="26">
        <v>45881.208333000002</v>
      </c>
      <c r="B30" s="57">
        <v>45881</v>
      </c>
      <c r="C30" s="28"/>
      <c r="D30" s="29" t="s">
        <v>223</v>
      </c>
      <c r="E30" s="30"/>
      <c r="F30" s="31">
        <v>786</v>
      </c>
      <c r="G30" s="28"/>
      <c r="H30" s="59">
        <v>977</v>
      </c>
    </row>
    <row r="31" spans="1:10">
      <c r="A31" s="26">
        <v>45886.189582999999</v>
      </c>
      <c r="B31" s="57">
        <v>45886</v>
      </c>
      <c r="C31" s="28"/>
      <c r="D31" s="29" t="s">
        <v>224</v>
      </c>
      <c r="E31" s="30"/>
      <c r="F31" s="31">
        <v>786</v>
      </c>
      <c r="G31" s="28"/>
      <c r="H31" s="58">
        <v>4884</v>
      </c>
      <c r="J31" s="35">
        <f>SUM(H28:H31)</f>
        <v>20791</v>
      </c>
    </row>
    <row r="32" spans="1:10">
      <c r="A32" s="26"/>
      <c r="B32" s="27"/>
      <c r="C32" s="28"/>
      <c r="D32" s="29"/>
      <c r="E32" s="30"/>
      <c r="F32" s="31"/>
      <c r="G32" s="28"/>
      <c r="H32" s="58"/>
    </row>
    <row r="33" spans="1:10">
      <c r="A33" s="26">
        <v>45912.180555999999</v>
      </c>
      <c r="B33" s="27">
        <v>45912</v>
      </c>
      <c r="C33" s="28"/>
      <c r="D33" s="29" t="s">
        <v>214</v>
      </c>
      <c r="E33" s="30" t="s">
        <v>207</v>
      </c>
      <c r="F33" s="31">
        <v>786</v>
      </c>
      <c r="G33" s="28"/>
      <c r="H33" s="60">
        <v>977</v>
      </c>
    </row>
    <row r="34" spans="1:10">
      <c r="A34" s="26">
        <v>45913.278471999998</v>
      </c>
      <c r="B34" s="27">
        <v>45913</v>
      </c>
      <c r="C34" s="28"/>
      <c r="D34" s="29" t="s">
        <v>215</v>
      </c>
      <c r="E34" s="30" t="s">
        <v>207</v>
      </c>
      <c r="F34" s="31">
        <v>786</v>
      </c>
      <c r="G34" s="28"/>
      <c r="H34" s="61">
        <v>1016</v>
      </c>
      <c r="J34" s="49">
        <f>SUM(H33:H34)</f>
        <v>1993</v>
      </c>
    </row>
  </sheetData>
  <mergeCells count="1">
    <mergeCell ref="D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6ED7-B2A3-42BA-93F8-5CCBD3CB4DED}">
  <dimension ref="A1:M12"/>
  <sheetViews>
    <sheetView workbookViewId="0">
      <selection activeCell="B12" sqref="B7:B12"/>
    </sheetView>
  </sheetViews>
  <sheetFormatPr defaultRowHeight="14.4"/>
  <cols>
    <col min="1" max="1" width="11.6640625" customWidth="1"/>
  </cols>
  <sheetData>
    <row r="1" spans="1:13">
      <c r="B1" s="9">
        <v>45748</v>
      </c>
      <c r="C1" s="9">
        <v>45778</v>
      </c>
      <c r="D1" s="9">
        <v>45809</v>
      </c>
      <c r="E1" s="9">
        <v>45839</v>
      </c>
      <c r="F1" s="9">
        <v>45870</v>
      </c>
      <c r="G1" s="9">
        <v>45901</v>
      </c>
      <c r="H1" s="9">
        <v>45931</v>
      </c>
      <c r="I1" s="9">
        <v>45962</v>
      </c>
      <c r="J1" s="9">
        <v>45992</v>
      </c>
      <c r="K1" s="9">
        <v>46023</v>
      </c>
      <c r="L1" s="9">
        <v>46054</v>
      </c>
      <c r="M1" s="9">
        <v>46082</v>
      </c>
    </row>
    <row r="2" spans="1:13">
      <c r="A2" t="s">
        <v>29</v>
      </c>
      <c r="B2">
        <v>24420</v>
      </c>
    </row>
    <row r="3" spans="1:13">
      <c r="A3" t="s">
        <v>64</v>
      </c>
    </row>
    <row r="4" spans="1:13">
      <c r="A4" t="s">
        <v>21</v>
      </c>
    </row>
    <row r="7" spans="1:13">
      <c r="B7">
        <v>931</v>
      </c>
      <c r="C7">
        <v>12000</v>
      </c>
    </row>
    <row r="8" spans="1:13">
      <c r="B8">
        <v>702</v>
      </c>
      <c r="C8">
        <v>1323</v>
      </c>
    </row>
    <row r="9" spans="1:13">
      <c r="B9">
        <v>949</v>
      </c>
      <c r="C9">
        <v>945</v>
      </c>
    </row>
    <row r="10" spans="1:13">
      <c r="B10">
        <v>1630</v>
      </c>
    </row>
    <row r="11" spans="1:13">
      <c r="B11">
        <v>1630</v>
      </c>
    </row>
    <row r="12" spans="1:13">
      <c r="B12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susheela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A, Niranjana Datta</dc:creator>
  <cp:lastModifiedBy>K A, Niranjana Datta</cp:lastModifiedBy>
  <cp:lastPrinted>2025-05-16T08:15:34Z</cp:lastPrinted>
  <dcterms:created xsi:type="dcterms:W3CDTF">2024-06-23T04:59:42Z</dcterms:created>
  <dcterms:modified xsi:type="dcterms:W3CDTF">2026-06-05T17:40:07Z</dcterms:modified>
</cp:coreProperties>
</file>