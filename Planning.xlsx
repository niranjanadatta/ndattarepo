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nir\"/>
    </mc:Choice>
  </mc:AlternateContent>
  <xr:revisionPtr revIDLastSave="0" documentId="13_ncr:1_{78DADF42-F00A-43D5-B734-12605E3D405A}" xr6:coauthVersionLast="47" xr6:coauthVersionMax="47" xr10:uidLastSave="{00000000-0000-0000-0000-000000000000}"/>
  <bookViews>
    <workbookView xWindow="-108" yWindow="-108" windowWidth="23256" windowHeight="12456" tabRatio="761" firstSheet="6" activeTab="12" xr2:uid="{00000000-000D-0000-FFFF-FFFF00000000}"/>
  </bookViews>
  <sheets>
    <sheet name="MF_Summary" sheetId="1" r:id="rId1"/>
    <sheet name="Balanced" sheetId="9" r:id="rId2"/>
    <sheet name="Midcap" sheetId="8" r:id="rId3"/>
    <sheet name="Largecap" sheetId="6" r:id="rId4"/>
    <sheet name="Diversified" sheetId="7" r:id="rId5"/>
    <sheet name="2019-20" sheetId="12" r:id="rId6"/>
    <sheet name="Networth" sheetId="2" r:id="rId7"/>
    <sheet name="PF-VPF" sheetId="15" r:id="rId8"/>
    <sheet name="car" sheetId="11" r:id="rId9"/>
    <sheet name="Shares" sheetId="5" r:id="rId10"/>
    <sheet name="Dividend" sheetId="10" r:id="rId11"/>
    <sheet name="Pharma" sheetId="14" r:id="rId12"/>
    <sheet name="usPw" sheetId="3" r:id="rId13"/>
    <sheet name="MF_usPw1" sheetId="4" r:id="rId14"/>
    <sheet name="Others" sheetId="13" r:id="rId15"/>
    <sheet name="Sheet2" sheetId="17" r:id="rId16"/>
    <sheet name="Sheet1" sheetId="16" r:id="rId17"/>
  </sheets>
  <definedNames>
    <definedName name="_xlnm._FilterDatabase" localSheetId="1" hidden="1">Balanced!$B$1:$B$226</definedName>
    <definedName name="_xlnm._FilterDatabase" localSheetId="10" hidden="1">Dividend!$A$1:$C$477</definedName>
    <definedName name="_xlnm._FilterDatabase" localSheetId="6" hidden="1">Networth!$N$54:$R$163</definedName>
    <definedName name="_xlnm._FilterDatabase" localSheetId="9" hidden="1">Shares!$D$62:$Q$89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09" i="10" l="1"/>
  <c r="F508" i="10"/>
  <c r="F507" i="10"/>
  <c r="F506" i="10"/>
  <c r="F505" i="10"/>
  <c r="AV43" i="11"/>
  <c r="AP29" i="11"/>
  <c r="F503" i="10"/>
  <c r="F502" i="10"/>
  <c r="F504" i="10"/>
  <c r="F500" i="10"/>
  <c r="F501" i="10"/>
  <c r="F499" i="10"/>
  <c r="F498" i="10" l="1"/>
  <c r="F497" i="10"/>
  <c r="F495" i="10"/>
  <c r="F496" i="10" l="1"/>
  <c r="F494" i="10"/>
  <c r="F493" i="10"/>
  <c r="H55" i="15"/>
  <c r="F492" i="10" l="1"/>
  <c r="F489" i="10"/>
  <c r="F491" i="10"/>
  <c r="F490" i="10"/>
  <c r="F488" i="10"/>
  <c r="F474" i="10" l="1"/>
  <c r="F487" i="10" l="1"/>
  <c r="F486" i="10"/>
  <c r="F485" i="10"/>
  <c r="F484" i="10"/>
  <c r="F483" i="10"/>
  <c r="F471" i="10" l="1"/>
  <c r="F482" i="10"/>
  <c r="F481" i="10"/>
  <c r="F480" i="10" l="1"/>
  <c r="F473" i="10"/>
  <c r="H38" i="5"/>
  <c r="I38" i="5"/>
  <c r="F38" i="5"/>
  <c r="F477" i="10"/>
  <c r="F479" i="10"/>
  <c r="F478" i="10"/>
  <c r="F476" i="10" l="1"/>
  <c r="F475" i="10"/>
  <c r="E5" i="2" l="1"/>
  <c r="F472" i="10"/>
  <c r="O24" i="2" l="1"/>
  <c r="F469" i="10"/>
  <c r="F468" i="10" l="1"/>
  <c r="D29" i="2"/>
  <c r="R34" i="2" l="1"/>
  <c r="R35" i="2"/>
  <c r="R33" i="2"/>
  <c r="F2" i="2" l="1"/>
  <c r="F29" i="2" s="1"/>
  <c r="F31" i="2" s="1"/>
  <c r="F465" i="10"/>
  <c r="H53" i="15" l="1"/>
  <c r="H54" i="15" s="1"/>
  <c r="R3" i="2" l="1"/>
  <c r="R4" i="2"/>
  <c r="R5" i="2"/>
  <c r="R6" i="2"/>
  <c r="R9" i="2"/>
  <c r="R10" i="2"/>
  <c r="R11" i="2"/>
  <c r="R12" i="2"/>
  <c r="R13" i="2"/>
  <c r="R14" i="2"/>
  <c r="R15" i="2"/>
  <c r="R16" i="2"/>
  <c r="R8" i="2"/>
  <c r="R7" i="2"/>
  <c r="R17" i="2"/>
  <c r="Q17" i="2"/>
  <c r="R19" i="2" l="1"/>
  <c r="F463" i="10"/>
  <c r="M19" i="2" l="1"/>
  <c r="K192" i="2" l="1"/>
  <c r="H52" i="15"/>
  <c r="F455" i="10" l="1"/>
  <c r="F461" i="10"/>
  <c r="F458" i="10"/>
  <c r="P52" i="15"/>
  <c r="F456" i="10" l="1"/>
  <c r="F452" i="10" l="1"/>
  <c r="L18" i="17"/>
  <c r="P12" i="17"/>
  <c r="L61" i="15"/>
  <c r="L56" i="15"/>
  <c r="M35" i="15"/>
  <c r="AI49" i="11"/>
  <c r="AI47" i="11"/>
  <c r="AI45" i="11"/>
  <c r="D29" i="17"/>
  <c r="D28" i="17"/>
  <c r="D27" i="17"/>
  <c r="F25" i="17"/>
  <c r="F24" i="17"/>
  <c r="AN32" i="11"/>
  <c r="D25" i="17"/>
  <c r="D24" i="17"/>
  <c r="M17" i="17"/>
  <c r="L17" i="17"/>
  <c r="K17" i="17"/>
  <c r="K18" i="17" s="1"/>
  <c r="J17" i="17"/>
  <c r="J18" i="17" s="1"/>
  <c r="N16" i="17" l="1"/>
  <c r="N6" i="17"/>
  <c r="N7" i="17"/>
  <c r="N8" i="17"/>
  <c r="N9" i="17"/>
  <c r="N10" i="17"/>
  <c r="N11" i="17"/>
  <c r="N12" i="17"/>
  <c r="N5" i="17"/>
  <c r="N4" i="17"/>
  <c r="N3" i="17"/>
  <c r="M12" i="17"/>
  <c r="L12" i="17"/>
  <c r="K12" i="17"/>
  <c r="J12" i="17"/>
  <c r="AH42" i="11" l="1"/>
  <c r="AH39" i="11"/>
  <c r="AL41" i="11" l="1"/>
  <c r="AK41" i="11" l="1"/>
  <c r="AI30" i="11"/>
  <c r="AI32" i="11" s="1"/>
  <c r="AJ2" i="11"/>
  <c r="AI2" i="11"/>
  <c r="AJ30" i="11" l="1"/>
  <c r="AI33" i="11"/>
  <c r="AJ33" i="11" s="1"/>
  <c r="AI31" i="11"/>
  <c r="F446" i="10"/>
  <c r="F445" i="10"/>
  <c r="AJ32" i="11" l="1"/>
  <c r="AJ31" i="11"/>
  <c r="AJ34" i="11" s="1"/>
  <c r="F447" i="10"/>
  <c r="H49" i="15"/>
  <c r="H50" i="15" s="1"/>
  <c r="H51" i="15" s="1"/>
  <c r="H48" i="15" l="1"/>
  <c r="AH2" i="11" l="1"/>
  <c r="AH3" i="11" s="1"/>
  <c r="AG2" i="11"/>
  <c r="AG3" i="11" s="1"/>
  <c r="AF2" i="11"/>
  <c r="AF3" i="11" s="1"/>
  <c r="AE2" i="11"/>
  <c r="AE3" i="11" s="1"/>
  <c r="H47" i="15" l="1"/>
  <c r="F425" i="10"/>
  <c r="F424" i="10"/>
  <c r="H46" i="15" l="1"/>
  <c r="H25" i="5"/>
  <c r="I25" i="5" s="1"/>
  <c r="F25" i="5"/>
  <c r="I115" i="14" l="1"/>
  <c r="I114" i="14"/>
  <c r="I104" i="14"/>
  <c r="I105" i="14"/>
  <c r="I106" i="14"/>
  <c r="I107" i="14"/>
  <c r="I108" i="14"/>
  <c r="I109" i="14"/>
  <c r="I110" i="14"/>
  <c r="I111" i="14"/>
  <c r="I112" i="14"/>
  <c r="I103" i="14"/>
  <c r="N109" i="14"/>
  <c r="N112" i="14" s="1"/>
  <c r="L112" i="14"/>
  <c r="N108" i="14"/>
  <c r="N107" i="14"/>
  <c r="H45" i="15"/>
  <c r="N31" i="15" l="1"/>
  <c r="I44" i="15" l="1"/>
  <c r="H44" i="15"/>
  <c r="H43" i="15"/>
  <c r="G59" i="3" l="1"/>
  <c r="H59" i="3" s="1"/>
  <c r="I42" i="15" l="1"/>
  <c r="H42" i="15"/>
  <c r="W91" i="11" l="1"/>
  <c r="X91" i="11" s="1"/>
  <c r="F45" i="5" l="1"/>
  <c r="H41" i="15"/>
  <c r="H40" i="15" l="1"/>
  <c r="H57" i="5" l="1"/>
  <c r="H39" i="15" l="1"/>
  <c r="Z89" i="11" l="1"/>
  <c r="AG34" i="11"/>
  <c r="Z91" i="11" l="1"/>
  <c r="Z93" i="11" s="1"/>
  <c r="AB89" i="11"/>
  <c r="AB92" i="11" s="1"/>
  <c r="I38" i="15"/>
  <c r="H38" i="15"/>
  <c r="H44" i="5"/>
  <c r="F44" i="5"/>
  <c r="H43" i="5"/>
  <c r="F43" i="5"/>
  <c r="I43" i="5" s="1"/>
  <c r="H39" i="5"/>
  <c r="F39" i="5"/>
  <c r="I39" i="5" l="1"/>
  <c r="I44" i="5"/>
  <c r="H37" i="5" l="1"/>
  <c r="F37" i="5"/>
  <c r="I37" i="5" l="1"/>
  <c r="AC78" i="11"/>
  <c r="Y77" i="11"/>
  <c r="Y78" i="11" s="1"/>
  <c r="Y81" i="11" l="1"/>
  <c r="Y91" i="11" s="1"/>
  <c r="Y92" i="11" s="1"/>
  <c r="Y95" i="11" s="1"/>
  <c r="Y79" i="11"/>
  <c r="V93" i="11" s="1"/>
  <c r="W93" i="11" s="1"/>
  <c r="X93" i="11" s="1"/>
  <c r="Y93" i="11" s="1"/>
  <c r="Y80" i="11"/>
  <c r="I45" i="11"/>
  <c r="I35" i="15"/>
  <c r="I36" i="15" s="1"/>
  <c r="I37" i="15" s="1"/>
  <c r="H35" i="15"/>
  <c r="H36" i="15" s="1"/>
  <c r="H37" i="15" s="1"/>
  <c r="Y89" i="11" l="1"/>
  <c r="N113" i="14"/>
  <c r="N104" i="14"/>
  <c r="N105" i="14"/>
  <c r="N106" i="14"/>
  <c r="N103" i="14"/>
  <c r="H29" i="5" l="1"/>
  <c r="F29" i="5"/>
  <c r="S61" i="14"/>
  <c r="S60" i="14"/>
  <c r="S55" i="14"/>
  <c r="S56" i="14"/>
  <c r="S57" i="14"/>
  <c r="S58" i="14"/>
  <c r="S54" i="14"/>
  <c r="S53" i="14"/>
  <c r="Q60" i="14"/>
  <c r="I29" i="5" l="1"/>
  <c r="H41" i="5"/>
  <c r="F41" i="5"/>
  <c r="I41" i="5" l="1"/>
  <c r="K40" i="5" s="1"/>
  <c r="D114" i="14"/>
  <c r="B113" i="14"/>
  <c r="D113" i="14"/>
  <c r="D105" i="14"/>
  <c r="D106" i="14"/>
  <c r="D107" i="14"/>
  <c r="D108" i="14"/>
  <c r="D104" i="14"/>
  <c r="S97" i="14"/>
  <c r="S96" i="14"/>
  <c r="I94" i="14"/>
  <c r="I95" i="14"/>
  <c r="S94" i="14"/>
  <c r="S95" i="14"/>
  <c r="S93" i="14"/>
  <c r="N94" i="14"/>
  <c r="N95" i="14"/>
  <c r="N93" i="14"/>
  <c r="I93" i="14"/>
  <c r="D103" i="14"/>
  <c r="H34" i="5" l="1"/>
  <c r="O19" i="16"/>
  <c r="C112" i="11" l="1"/>
  <c r="I34" i="15"/>
  <c r="H34" i="15"/>
  <c r="AZ10" i="11" l="1"/>
  <c r="M19" i="4"/>
  <c r="L19" i="4"/>
  <c r="O5" i="4"/>
  <c r="O6" i="4"/>
  <c r="O7" i="4"/>
  <c r="O8" i="4"/>
  <c r="O9" i="4"/>
  <c r="O10" i="4"/>
  <c r="O3" i="4"/>
  <c r="O4" i="4"/>
  <c r="O2" i="4"/>
  <c r="M20" i="4" l="1"/>
  <c r="H33" i="15" l="1"/>
  <c r="I33" i="15"/>
  <c r="H40" i="5"/>
  <c r="F40" i="5"/>
  <c r="F317" i="10"/>
  <c r="H32" i="15"/>
  <c r="I32" i="15"/>
  <c r="AV33" i="11"/>
  <c r="AY33" i="11" s="1"/>
  <c r="I31" i="15"/>
  <c r="H31" i="15"/>
  <c r="I40" i="5" l="1"/>
  <c r="K39" i="5" s="1"/>
  <c r="I314" i="10" l="1"/>
  <c r="I315" i="10" s="1"/>
  <c r="I305" i="10" l="1"/>
  <c r="J86" i="5"/>
  <c r="AD4" i="15" l="1"/>
  <c r="I30" i="15"/>
  <c r="H30" i="15"/>
  <c r="K28" i="15" l="1"/>
  <c r="K27" i="15"/>
  <c r="AR14" i="14" l="1"/>
  <c r="M124" i="11" l="1"/>
  <c r="M126" i="11" s="1"/>
  <c r="M122" i="11"/>
  <c r="AW13" i="14" l="1"/>
  <c r="AV26" i="11" l="1"/>
  <c r="AT26" i="11"/>
  <c r="AR26" i="11"/>
  <c r="AP26" i="11"/>
  <c r="AN26" i="11"/>
  <c r="AS28" i="11" l="1"/>
  <c r="AE52" i="11" l="1"/>
  <c r="AE51" i="11"/>
  <c r="H87" i="5" l="1"/>
  <c r="F87" i="5"/>
  <c r="I87" i="5" l="1"/>
  <c r="K87" i="5" s="1"/>
  <c r="AE20" i="11"/>
  <c r="AF20" i="11"/>
  <c r="U69" i="11"/>
  <c r="T69" i="11"/>
  <c r="S69" i="11"/>
  <c r="R69" i="11"/>
  <c r="Q69" i="11"/>
  <c r="P69" i="11"/>
  <c r="O69" i="11"/>
  <c r="N69" i="11"/>
  <c r="M69" i="11"/>
  <c r="H61" i="5" l="1"/>
  <c r="F61" i="5"/>
  <c r="H53" i="5"/>
  <c r="H51" i="5"/>
  <c r="F51" i="5"/>
  <c r="H72" i="5"/>
  <c r="F72" i="5"/>
  <c r="H47" i="5"/>
  <c r="F47" i="5"/>
  <c r="H46" i="5"/>
  <c r="F46" i="5"/>
  <c r="I72" i="5" l="1"/>
  <c r="K72" i="5" s="1"/>
  <c r="I47" i="5"/>
  <c r="K47" i="5" s="1"/>
  <c r="I51" i="5"/>
  <c r="K51" i="5" s="1"/>
  <c r="I46" i="5"/>
  <c r="K46" i="5" s="1"/>
  <c r="I53" i="5"/>
  <c r="K53" i="5" s="1"/>
  <c r="I61" i="5"/>
  <c r="K61" i="5" s="1"/>
  <c r="R114" i="11"/>
  <c r="O110" i="11"/>
  <c r="R113" i="11" s="1"/>
  <c r="P110" i="11"/>
  <c r="Q110" i="11"/>
  <c r="R110" i="11"/>
  <c r="S110" i="11"/>
  <c r="T110" i="11"/>
  <c r="U110" i="11"/>
  <c r="V110" i="11"/>
  <c r="W110" i="11"/>
  <c r="X110" i="11"/>
  <c r="N110" i="11"/>
  <c r="M110" i="11"/>
  <c r="X172" i="15" l="1"/>
  <c r="AH27" i="11"/>
  <c r="AI27" i="11" s="1"/>
  <c r="AJ27" i="11" s="1"/>
  <c r="AH26" i="11"/>
  <c r="AI26" i="11" s="1"/>
  <c r="AJ26" i="11" s="1"/>
  <c r="AH25" i="11"/>
  <c r="AI25" i="11" s="1"/>
  <c r="AJ25" i="11" s="1"/>
  <c r="AH24" i="11"/>
  <c r="AI24" i="11" s="1"/>
  <c r="AC9" i="11"/>
  <c r="AD9" i="11" s="1"/>
  <c r="AC8" i="11"/>
  <c r="AD8" i="11" s="1"/>
  <c r="AC7" i="11"/>
  <c r="AD7" i="11" s="1"/>
  <c r="AJ24" i="11" l="1"/>
  <c r="Z27" i="15"/>
  <c r="Z26" i="15"/>
  <c r="Z25" i="15"/>
  <c r="H50" i="5" l="1"/>
  <c r="H16" i="15" l="1"/>
  <c r="H14" i="15"/>
  <c r="AC31" i="15"/>
  <c r="AC30" i="15"/>
  <c r="AA26" i="14" l="1"/>
  <c r="AB26" i="14"/>
  <c r="F86" i="16" l="1"/>
  <c r="F83" i="16"/>
  <c r="F82" i="16"/>
  <c r="F84" i="16" s="1"/>
  <c r="F64" i="16"/>
  <c r="F53" i="16"/>
  <c r="F42" i="16"/>
  <c r="F78" i="16"/>
  <c r="F71" i="16"/>
  <c r="F69" i="16"/>
  <c r="F61" i="16"/>
  <c r="F60" i="16"/>
  <c r="F59" i="16"/>
  <c r="F58" i="16"/>
  <c r="F50" i="16"/>
  <c r="F49" i="16"/>
  <c r="F48" i="16"/>
  <c r="F47" i="16"/>
  <c r="F32" i="16"/>
  <c r="F39" i="16"/>
  <c r="F38" i="16"/>
  <c r="F37" i="16"/>
  <c r="F36" i="16"/>
  <c r="F29" i="16"/>
  <c r="F28" i="16"/>
  <c r="F27" i="16"/>
  <c r="F26" i="16"/>
  <c r="F25" i="16"/>
  <c r="F24" i="16"/>
  <c r="F23" i="16"/>
  <c r="D54" i="14"/>
  <c r="D55" i="14"/>
  <c r="D56" i="14"/>
  <c r="D57" i="14"/>
  <c r="D58" i="14"/>
  <c r="D59" i="14"/>
  <c r="D60" i="14"/>
  <c r="F18" i="16"/>
  <c r="D16" i="16"/>
  <c r="F15" i="16"/>
  <c r="F14" i="16"/>
  <c r="F13" i="16"/>
  <c r="K23" i="15"/>
  <c r="K21" i="15"/>
  <c r="K19" i="15"/>
  <c r="F62" i="16" l="1"/>
  <c r="F40" i="16"/>
  <c r="F30" i="16"/>
  <c r="F51" i="16"/>
  <c r="F16" i="16"/>
  <c r="AE5" i="15" l="1"/>
  <c r="AE4" i="15"/>
  <c r="AD20" i="15"/>
  <c r="R21" i="15"/>
  <c r="Q21" i="15"/>
  <c r="S37" i="11"/>
  <c r="AD5" i="15" l="1"/>
  <c r="K17" i="15"/>
  <c r="K16" i="15"/>
  <c r="AD6" i="15" l="1"/>
  <c r="AE6" i="15"/>
  <c r="AD7" i="15" l="1"/>
  <c r="AE7" i="15"/>
  <c r="S18" i="14"/>
  <c r="S17" i="14"/>
  <c r="S16" i="14"/>
  <c r="S20" i="14" s="1"/>
  <c r="S15" i="14"/>
  <c r="AU15" i="14"/>
  <c r="AW12" i="14"/>
  <c r="AE8" i="15" l="1"/>
  <c r="AD8" i="15"/>
  <c r="R51" i="11"/>
  <c r="Q51" i="11"/>
  <c r="S28" i="15"/>
  <c r="AE9" i="15" l="1"/>
  <c r="AD9" i="15"/>
  <c r="D61" i="14"/>
  <c r="AW11" i="14"/>
  <c r="AE10" i="15" l="1"/>
  <c r="AD10" i="15"/>
  <c r="AW10" i="14"/>
  <c r="AE11" i="15" l="1"/>
  <c r="AD11" i="15"/>
  <c r="AE12" i="15" l="1"/>
  <c r="AD12" i="15"/>
  <c r="AD13" i="15" l="1"/>
  <c r="AE13" i="15"/>
  <c r="I81" i="14"/>
  <c r="G88" i="14"/>
  <c r="AE14" i="15" l="1"/>
  <c r="AD14" i="15"/>
  <c r="AA50" i="11"/>
  <c r="AC50" i="11" s="1"/>
  <c r="AD15" i="15" l="1"/>
  <c r="AE15" i="15"/>
  <c r="AE16" i="15" s="1"/>
  <c r="U37" i="11" l="1"/>
  <c r="Y45" i="11"/>
  <c r="AE42" i="11" l="1"/>
  <c r="AD42" i="11"/>
  <c r="AA26" i="11"/>
  <c r="AA24" i="11" s="1"/>
  <c r="Z3" i="11"/>
  <c r="Z5" i="11" s="1"/>
  <c r="W45" i="11" l="1"/>
  <c r="R45" i="11"/>
  <c r="S45" i="11"/>
  <c r="T45" i="11"/>
  <c r="U45" i="11"/>
  <c r="V45" i="11"/>
  <c r="X45" i="11"/>
  <c r="Q45" i="11"/>
  <c r="P45" i="11"/>
  <c r="Y67" i="11"/>
  <c r="Y69" i="11" s="1"/>
  <c r="Y73" i="11" s="1"/>
  <c r="T47" i="11" l="1"/>
  <c r="R1" i="11"/>
  <c r="AA5" i="11" l="1"/>
  <c r="AA4" i="11"/>
  <c r="AA3" i="11"/>
  <c r="AA2" i="11"/>
  <c r="AB2" i="11" s="1"/>
  <c r="AA1" i="11"/>
  <c r="Z28" i="11"/>
  <c r="X24" i="11"/>
  <c r="W25" i="11"/>
  <c r="Z26" i="11" s="1"/>
  <c r="R31" i="15"/>
  <c r="R28" i="15"/>
  <c r="R27" i="15"/>
  <c r="P10" i="15"/>
  <c r="AC4" i="11" l="1"/>
  <c r="AD4" i="11"/>
  <c r="W26" i="11"/>
  <c r="X25" i="11"/>
  <c r="W27" i="11"/>
  <c r="X27" i="11" s="1"/>
  <c r="Y34" i="11" s="1"/>
  <c r="W2" i="11"/>
  <c r="W4" i="11" s="1"/>
  <c r="AA15" i="11"/>
  <c r="AA17" i="11" s="1"/>
  <c r="Y11" i="11"/>
  <c r="Y12" i="11" s="1"/>
  <c r="Y13" i="11" s="1"/>
  <c r="Y8" i="11"/>
  <c r="X28" i="11" l="1"/>
  <c r="Y25" i="11"/>
  <c r="X26" i="11"/>
  <c r="Z27" i="11"/>
  <c r="Z29" i="11" s="1"/>
  <c r="Z30" i="11" s="1"/>
  <c r="Z31" i="11" s="1"/>
  <c r="H11" i="15"/>
  <c r="H12" i="15" s="1"/>
  <c r="H13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9" i="15" s="1"/>
  <c r="H10" i="15"/>
  <c r="H9" i="15"/>
  <c r="D81" i="14" l="1"/>
  <c r="B84" i="14"/>
  <c r="D72" i="14"/>
  <c r="H8" i="15" l="1"/>
  <c r="Q6" i="15" l="1"/>
  <c r="O6" i="15"/>
  <c r="O7" i="15" s="1"/>
  <c r="AP18" i="14"/>
  <c r="AR13" i="14"/>
  <c r="Z21" i="11" l="1"/>
  <c r="Y23" i="11"/>
  <c r="C69" i="14"/>
  <c r="H7" i="15" l="1"/>
  <c r="G28" i="14"/>
  <c r="G26" i="14"/>
  <c r="G27" i="14"/>
  <c r="N83" i="14"/>
  <c r="N82" i="14"/>
  <c r="D68" i="14" l="1"/>
  <c r="B69" i="14"/>
  <c r="V81" i="14"/>
  <c r="X77" i="14"/>
  <c r="X76" i="14"/>
  <c r="X81" i="14" s="1"/>
  <c r="X82" i="14" s="1"/>
  <c r="W70" i="14"/>
  <c r="R24" i="15"/>
  <c r="J18" i="10"/>
  <c r="I18" i="10"/>
  <c r="I19" i="10" s="1"/>
  <c r="I20" i="10" s="1"/>
  <c r="I22" i="10" s="1"/>
  <c r="H6" i="15" l="1"/>
  <c r="I5" i="15"/>
  <c r="I6" i="15" s="1"/>
  <c r="I7" i="15" s="1"/>
  <c r="I8" i="15" s="1"/>
  <c r="I9" i="15" s="1"/>
  <c r="I10" i="15" s="1"/>
  <c r="I11" i="15" s="1"/>
  <c r="I12" i="15" s="1"/>
  <c r="I13" i="15" s="1"/>
  <c r="I14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9" i="15" s="1"/>
  <c r="H5" i="15"/>
  <c r="I4" i="15"/>
  <c r="H4" i="15"/>
  <c r="S81" i="14" l="1"/>
  <c r="I59" i="14"/>
  <c r="L8" i="1" l="1"/>
  <c r="N7" i="1"/>
  <c r="M8" i="1"/>
  <c r="H17" i="5"/>
  <c r="H18" i="5"/>
  <c r="H19" i="5"/>
  <c r="H20" i="5"/>
  <c r="H21" i="5"/>
  <c r="H22" i="5"/>
  <c r="H23" i="5"/>
  <c r="H66" i="5"/>
  <c r="F66" i="5"/>
  <c r="H63" i="5"/>
  <c r="F63" i="5"/>
  <c r="H62" i="5"/>
  <c r="F62" i="5"/>
  <c r="H24" i="5"/>
  <c r="H15" i="5"/>
  <c r="H16" i="5"/>
  <c r="H14" i="5"/>
  <c r="F24" i="5"/>
  <c r="F23" i="5"/>
  <c r="F15" i="5"/>
  <c r="F16" i="5"/>
  <c r="F17" i="5"/>
  <c r="F18" i="5"/>
  <c r="F19" i="5"/>
  <c r="F20" i="5"/>
  <c r="F21" i="5"/>
  <c r="F22" i="5"/>
  <c r="F14" i="5"/>
  <c r="V68" i="14"/>
  <c r="X65" i="14"/>
  <c r="I63" i="5" l="1"/>
  <c r="K63" i="5" s="1"/>
  <c r="I66" i="5"/>
  <c r="I22" i="5"/>
  <c r="I14" i="5"/>
  <c r="I20" i="5"/>
  <c r="I19" i="5"/>
  <c r="I18" i="5"/>
  <c r="I17" i="5"/>
  <c r="I16" i="5"/>
  <c r="I21" i="5"/>
  <c r="I62" i="5"/>
  <c r="K62" i="5" s="1"/>
  <c r="I24" i="5"/>
  <c r="I23" i="5"/>
  <c r="I15" i="5"/>
  <c r="X66" i="14"/>
  <c r="X68" i="14" s="1"/>
  <c r="X69" i="14" s="1"/>
  <c r="AW9" i="14"/>
  <c r="Q73" i="14"/>
  <c r="D80" i="14"/>
  <c r="S79" i="14"/>
  <c r="T81" i="14" s="1"/>
  <c r="D67" i="14"/>
  <c r="I80" i="14"/>
  <c r="S66" i="14"/>
  <c r="G73" i="14"/>
  <c r="I68" i="14"/>
  <c r="N81" i="14"/>
  <c r="Q83" i="14"/>
  <c r="N80" i="14"/>
  <c r="S78" i="14"/>
  <c r="B98" i="14"/>
  <c r="D66" i="14"/>
  <c r="D65" i="14"/>
  <c r="S76" i="14"/>
  <c r="N76" i="14"/>
  <c r="I76" i="14"/>
  <c r="D76" i="14"/>
  <c r="D95" i="14"/>
  <c r="I79" i="14"/>
  <c r="S77" i="14"/>
  <c r="D79" i="14"/>
  <c r="N79" i="14"/>
  <c r="D69" i="14" l="1"/>
  <c r="D70" i="14" s="1"/>
  <c r="S83" i="14"/>
  <c r="S84" i="14" s="1"/>
  <c r="D94" i="14"/>
  <c r="N78" i="14"/>
  <c r="D78" i="14"/>
  <c r="I78" i="14"/>
  <c r="N65" i="14" l="1"/>
  <c r="I66" i="14"/>
  <c r="I67" i="14"/>
  <c r="I65" i="14"/>
  <c r="D93" i="14"/>
  <c r="D98" i="14" s="1"/>
  <c r="D99" i="14" s="1"/>
  <c r="N77" i="14"/>
  <c r="D77" i="14"/>
  <c r="D84" i="14" s="1"/>
  <c r="I77" i="14"/>
  <c r="AW8" i="14"/>
  <c r="G4" i="5"/>
  <c r="L9" i="15"/>
  <c r="M9" i="15" s="1"/>
  <c r="L7" i="15"/>
  <c r="D86" i="14" l="1"/>
  <c r="D85" i="14"/>
  <c r="I88" i="14"/>
  <c r="I89" i="14" s="1"/>
  <c r="I73" i="14"/>
  <c r="I74" i="14" s="1"/>
  <c r="L4" i="15" l="1"/>
  <c r="N57" i="14" l="1"/>
  <c r="N56" i="14"/>
  <c r="AZ11" i="14"/>
  <c r="B47" i="14"/>
  <c r="I22" i="14"/>
  <c r="AR12" i="14"/>
  <c r="S65" i="14"/>
  <c r="S73" i="14" s="1"/>
  <c r="S74" i="14" s="1"/>
  <c r="I21" i="14"/>
  <c r="G24" i="14"/>
  <c r="I20" i="14"/>
  <c r="BB6" i="14"/>
  <c r="D44" i="14"/>
  <c r="I17" i="14"/>
  <c r="I18" i="14"/>
  <c r="I19" i="14"/>
  <c r="I16" i="14"/>
  <c r="I15" i="14"/>
  <c r="I14" i="14"/>
  <c r="N55" i="14"/>
  <c r="G44" i="14"/>
  <c r="I42" i="14"/>
  <c r="D43" i="14"/>
  <c r="X12" i="11"/>
  <c r="W14" i="11"/>
  <c r="F34" i="5" l="1"/>
  <c r="H33" i="5"/>
  <c r="F33" i="5"/>
  <c r="I38" i="14"/>
  <c r="I37" i="14"/>
  <c r="G57" i="14"/>
  <c r="N54" i="14"/>
  <c r="N59" i="14" s="1"/>
  <c r="I56" i="14"/>
  <c r="D42" i="14"/>
  <c r="BE20" i="14"/>
  <c r="BG20" i="14" s="1"/>
  <c r="BG21" i="14" s="1"/>
  <c r="I54" i="14"/>
  <c r="I55" i="14"/>
  <c r="I34" i="5" l="1"/>
  <c r="I33" i="5"/>
  <c r="I57" i="14"/>
  <c r="D39" i="14"/>
  <c r="I58" i="14" l="1"/>
  <c r="I60" i="14"/>
  <c r="H32" i="5"/>
  <c r="F32" i="5"/>
  <c r="X3" i="11"/>
  <c r="Y3" i="11" s="1"/>
  <c r="M51" i="11"/>
  <c r="M47" i="11"/>
  <c r="U19" i="11"/>
  <c r="U18" i="11"/>
  <c r="U13" i="11" s="1"/>
  <c r="S15" i="11"/>
  <c r="S22" i="11"/>
  <c r="S21" i="11"/>
  <c r="S20" i="11"/>
  <c r="S19" i="11"/>
  <c r="S24" i="11" s="1"/>
  <c r="K49" i="11"/>
  <c r="I32" i="5" l="1"/>
  <c r="I40" i="14"/>
  <c r="I44" i="14" s="1"/>
  <c r="I45" i="14" s="1"/>
  <c r="AR11" i="14"/>
  <c r="Q12" i="11" l="1"/>
  <c r="R12" i="11" s="1"/>
  <c r="S12" i="11" s="1"/>
  <c r="T12" i="11" s="1"/>
  <c r="C105" i="11"/>
  <c r="C106" i="11" s="1"/>
  <c r="C107" i="11" s="1"/>
  <c r="M59" i="5"/>
  <c r="H98" i="11"/>
  <c r="I98" i="11" s="1"/>
  <c r="AD57" i="11" l="1"/>
  <c r="AB55" i="11"/>
  <c r="AD56" i="11"/>
  <c r="AD58" i="11" s="1"/>
  <c r="X59" i="11"/>
  <c r="X62" i="11" s="1"/>
  <c r="W59" i="11"/>
  <c r="W62" i="11" s="1"/>
  <c r="V59" i="11"/>
  <c r="V62" i="11" s="1"/>
  <c r="O59" i="11"/>
  <c r="O62" i="11" s="1"/>
  <c r="P59" i="11"/>
  <c r="P62" i="11" s="1"/>
  <c r="Q59" i="11"/>
  <c r="Q62" i="11" s="1"/>
  <c r="R59" i="11"/>
  <c r="R62" i="11" s="1"/>
  <c r="S59" i="11"/>
  <c r="S62" i="11" s="1"/>
  <c r="T59" i="11"/>
  <c r="T62" i="11" s="1"/>
  <c r="U59" i="11"/>
  <c r="U62" i="11" s="1"/>
  <c r="N59" i="11"/>
  <c r="N62" i="11" s="1"/>
  <c r="M59" i="11"/>
  <c r="M62" i="11" s="1"/>
  <c r="H69" i="5"/>
  <c r="F69" i="5"/>
  <c r="R32" i="11"/>
  <c r="I69" i="5" l="1"/>
  <c r="K69" i="5" s="1"/>
  <c r="AC59" i="11"/>
  <c r="AC61" i="11" s="1"/>
  <c r="N78" i="11"/>
  <c r="O78" i="11" s="1"/>
  <c r="H88" i="11"/>
  <c r="J88" i="11" s="1"/>
  <c r="P93" i="11" l="1"/>
  <c r="P95" i="11" s="1"/>
  <c r="P89" i="11"/>
  <c r="O89" i="11"/>
  <c r="T78" i="11"/>
  <c r="N83" i="11"/>
  <c r="O83" i="11" s="1"/>
  <c r="N95" i="11"/>
  <c r="N98" i="11" s="1"/>
  <c r="P81" i="11"/>
  <c r="N82" i="11"/>
  <c r="P82" i="11" s="1"/>
  <c r="P79" i="11"/>
  <c r="B22" i="14"/>
  <c r="D17" i="14"/>
  <c r="D16" i="14"/>
  <c r="A9" i="11"/>
  <c r="A10" i="11" s="1"/>
  <c r="H58" i="5" l="1"/>
  <c r="AW7" i="14"/>
  <c r="D15" i="14"/>
  <c r="D14" i="14" l="1"/>
  <c r="AW6" i="14"/>
  <c r="I26" i="11" l="1"/>
  <c r="F26" i="11"/>
  <c r="G25" i="11"/>
  <c r="F25" i="11" s="1"/>
  <c r="H25" i="11"/>
  <c r="I25" i="11" s="1"/>
  <c r="I27" i="11" s="1"/>
  <c r="B6" i="11"/>
  <c r="B1" i="11" s="1"/>
  <c r="B99" i="11" l="1"/>
  <c r="I13" i="11"/>
  <c r="J13" i="11" s="1"/>
  <c r="K13" i="11" s="1"/>
  <c r="I14" i="11"/>
  <c r="J14" i="11" s="1"/>
  <c r="K14" i="11" s="1"/>
  <c r="H12" i="11"/>
  <c r="H15" i="11" s="1"/>
  <c r="H16" i="11" s="1"/>
  <c r="J1" i="11"/>
  <c r="K1" i="11"/>
  <c r="L1" i="11" s="1"/>
  <c r="H33" i="1"/>
  <c r="H18" i="11" l="1"/>
  <c r="I18" i="11" s="1"/>
  <c r="J18" i="11"/>
  <c r="K18" i="11" s="1"/>
  <c r="I12" i="11"/>
  <c r="J12" i="11" s="1"/>
  <c r="AR10" i="14"/>
  <c r="AR9" i="14"/>
  <c r="D13" i="14"/>
  <c r="AW5" i="14"/>
  <c r="D12" i="14"/>
  <c r="AR8" i="14"/>
  <c r="D41" i="14"/>
  <c r="D47" i="14" s="1"/>
  <c r="D48" i="14" s="1"/>
  <c r="B67" i="11"/>
  <c r="BG10" i="14"/>
  <c r="BE13" i="14"/>
  <c r="K12" i="11" l="1"/>
  <c r="J15" i="11"/>
  <c r="J16" i="11" s="1"/>
  <c r="BG16" i="14"/>
  <c r="AA9" i="14"/>
  <c r="AC7" i="14"/>
  <c r="K15" i="11" l="1"/>
  <c r="M12" i="11"/>
  <c r="L12" i="11"/>
  <c r="G162" i="9"/>
  <c r="F162" i="9"/>
  <c r="BG9" i="14" l="1"/>
  <c r="BG8" i="14"/>
  <c r="G192" i="9" l="1"/>
  <c r="G193" i="9"/>
  <c r="G194" i="9"/>
  <c r="G195" i="9"/>
  <c r="G196" i="9"/>
  <c r="G197" i="9"/>
  <c r="G198" i="9"/>
  <c r="G199" i="9"/>
  <c r="G200" i="9"/>
  <c r="G201" i="9"/>
  <c r="G191" i="9"/>
  <c r="G131" i="9"/>
  <c r="G132" i="9"/>
  <c r="G133" i="9"/>
  <c r="G130" i="9"/>
  <c r="G60" i="9"/>
  <c r="G61" i="9"/>
  <c r="G62" i="9"/>
  <c r="G63" i="9"/>
  <c r="G64" i="9"/>
  <c r="G65" i="9"/>
  <c r="G66" i="9"/>
  <c r="G67" i="9"/>
  <c r="G68" i="9"/>
  <c r="G69" i="9"/>
  <c r="G59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35" i="9"/>
  <c r="G25" i="9"/>
  <c r="G26" i="9"/>
  <c r="G27" i="9"/>
  <c r="G28" i="9"/>
  <c r="G29" i="9"/>
  <c r="G30" i="9"/>
  <c r="G24" i="9"/>
  <c r="AR6" i="14" l="1"/>
  <c r="AR7" i="14"/>
  <c r="AC6" i="14"/>
  <c r="BG7" i="14" l="1"/>
  <c r="BI5" i="14" l="1"/>
  <c r="BG6" i="14" l="1"/>
  <c r="BG5" i="14" l="1"/>
  <c r="X6" i="14" l="1"/>
  <c r="BB5" i="14" l="1"/>
  <c r="BG4" i="14"/>
  <c r="H56" i="5" l="1"/>
  <c r="BB4" i="14"/>
  <c r="H76" i="5" l="1"/>
  <c r="AH17" i="14" l="1"/>
  <c r="BG3" i="14"/>
  <c r="BG13" i="14" s="1"/>
  <c r="BB3" i="14"/>
  <c r="BB11" i="14" s="1"/>
  <c r="BB12" i="14" s="1"/>
  <c r="BG17" i="14" l="1"/>
  <c r="BG14" i="14"/>
  <c r="F76" i="5"/>
  <c r="I76" i="5" s="1"/>
  <c r="K76" i="5" s="1"/>
  <c r="F56" i="5"/>
  <c r="I56" i="5" l="1"/>
  <c r="K56" i="5" s="1"/>
  <c r="A84" i="11"/>
  <c r="C69" i="11"/>
  <c r="B77" i="11"/>
  <c r="B80" i="11" s="1"/>
  <c r="H73" i="11"/>
  <c r="D73" i="11"/>
  <c r="K72" i="11"/>
  <c r="I74" i="11"/>
  <c r="K73" i="11" s="1"/>
  <c r="B21" i="11" l="1"/>
  <c r="B23" i="11" s="1"/>
  <c r="B25" i="11" l="1"/>
  <c r="K77" i="11" l="1"/>
  <c r="K75" i="11"/>
  <c r="A67" i="11"/>
  <c r="H49" i="5" l="1"/>
  <c r="F49" i="5"/>
  <c r="I49" i="5" l="1"/>
  <c r="K49" i="5" s="1"/>
  <c r="AC17" i="14" l="1"/>
  <c r="X4" i="14" l="1"/>
  <c r="D11" i="14" l="1"/>
  <c r="Q10" i="14" l="1"/>
  <c r="AR5" i="14" l="1"/>
  <c r="S8" i="14"/>
  <c r="S7" i="14"/>
  <c r="I13" i="14" l="1"/>
  <c r="S6" i="14"/>
  <c r="AW4" i="14" l="1"/>
  <c r="AR4" i="14"/>
  <c r="AW3" i="14"/>
  <c r="AR3" i="14"/>
  <c r="AR18" i="14" s="1"/>
  <c r="AW15" i="14" l="1"/>
  <c r="AW16" i="14" s="1"/>
  <c r="AR19" i="14"/>
  <c r="AC5" i="14"/>
  <c r="I12" i="14"/>
  <c r="F79" i="11" l="1"/>
  <c r="I11" i="14" l="1"/>
  <c r="D91" i="11" l="1"/>
  <c r="H42" i="5" l="1"/>
  <c r="H31" i="5"/>
  <c r="H54" i="5"/>
  <c r="H52" i="5"/>
  <c r="H78" i="5"/>
  <c r="H48" i="5"/>
  <c r="H89" i="5"/>
  <c r="H55" i="5"/>
  <c r="H64" i="5"/>
  <c r="F64" i="5"/>
  <c r="F42" i="5"/>
  <c r="F31" i="5"/>
  <c r="F58" i="5"/>
  <c r="F54" i="5"/>
  <c r="F52" i="5"/>
  <c r="F78" i="5"/>
  <c r="F48" i="5"/>
  <c r="F89" i="5"/>
  <c r="F55" i="5"/>
  <c r="I31" i="5" l="1"/>
  <c r="I89" i="5"/>
  <c r="K89" i="5" s="1"/>
  <c r="I78" i="5"/>
  <c r="K78" i="5" s="1"/>
  <c r="I52" i="5"/>
  <c r="K52" i="5" s="1"/>
  <c r="I54" i="5"/>
  <c r="K54" i="5" s="1"/>
  <c r="I58" i="5"/>
  <c r="K58" i="5" s="1"/>
  <c r="I64" i="5"/>
  <c r="K64" i="5" s="1"/>
  <c r="I42" i="5"/>
  <c r="I55" i="5"/>
  <c r="K55" i="5" s="1"/>
  <c r="I48" i="5"/>
  <c r="K48" i="5" s="1"/>
  <c r="AM3" i="14"/>
  <c r="AM4" i="14"/>
  <c r="AM5" i="14"/>
  <c r="AC3" i="14"/>
  <c r="AH3" i="14"/>
  <c r="X3" i="14"/>
  <c r="X5" i="14" s="1"/>
  <c r="AC4" i="14"/>
  <c r="AH4" i="14"/>
  <c r="S5" i="14"/>
  <c r="S4" i="14"/>
  <c r="S3" i="14"/>
  <c r="L7" i="14"/>
  <c r="N9" i="14" s="1"/>
  <c r="N5" i="14"/>
  <c r="N4" i="14"/>
  <c r="N3" i="14"/>
  <c r="I10" i="14"/>
  <c r="I9" i="14"/>
  <c r="I27" i="14" s="1"/>
  <c r="J27" i="14" s="1"/>
  <c r="I8" i="14"/>
  <c r="I26" i="14" s="1"/>
  <c r="J26" i="14" s="1"/>
  <c r="I7" i="14"/>
  <c r="I6" i="14"/>
  <c r="I5" i="14"/>
  <c r="I4" i="14"/>
  <c r="I3" i="14"/>
  <c r="D10" i="14"/>
  <c r="D9" i="14"/>
  <c r="D8" i="14"/>
  <c r="D7" i="14"/>
  <c r="D6" i="14"/>
  <c r="D5" i="14"/>
  <c r="D4" i="14"/>
  <c r="D3" i="14"/>
  <c r="I28" i="14" l="1"/>
  <c r="J28" i="14" s="1"/>
  <c r="I24" i="14"/>
  <c r="I25" i="14" s="1"/>
  <c r="N7" i="14"/>
  <c r="N11" i="14" s="1"/>
  <c r="AM6" i="14"/>
  <c r="D22" i="14"/>
  <c r="D23" i="14" s="1"/>
  <c r="AC9" i="14"/>
  <c r="AC10" i="14" s="1"/>
  <c r="AH6" i="14"/>
  <c r="AH7" i="14" s="1"/>
  <c r="S10" i="14"/>
  <c r="S11" i="14" s="1"/>
  <c r="N8" i="14" l="1"/>
  <c r="N3" i="1"/>
  <c r="N4" i="1"/>
  <c r="N5" i="1"/>
  <c r="N6" i="1"/>
  <c r="H20" i="1" l="1"/>
  <c r="I20" i="1" s="1"/>
  <c r="M14" i="1" l="1"/>
  <c r="M15" i="1" s="1"/>
  <c r="D24" i="1" l="1"/>
  <c r="N2" i="1" l="1"/>
  <c r="N1" i="1"/>
  <c r="M9" i="1" l="1"/>
  <c r="J66" i="11" l="1"/>
  <c r="G71" i="11" l="1"/>
  <c r="G75" i="11" l="1"/>
  <c r="J71" i="11"/>
  <c r="C66" i="11" l="1"/>
  <c r="D65" i="11"/>
  <c r="E65" i="11" s="1"/>
  <c r="E66" i="11" s="1"/>
  <c r="F28" i="5" l="1"/>
  <c r="H28" i="5"/>
  <c r="F65" i="5"/>
  <c r="H65" i="5"/>
  <c r="F36" i="5"/>
  <c r="H36" i="5"/>
  <c r="I65" i="5" l="1"/>
  <c r="K65" i="5" s="1"/>
  <c r="I28" i="5"/>
  <c r="K28" i="5" s="1"/>
  <c r="I36" i="5"/>
  <c r="K36" i="5" s="1"/>
  <c r="I58" i="11" l="1"/>
  <c r="D60" i="11"/>
  <c r="E60" i="11" s="1"/>
  <c r="G60" i="11" s="1"/>
  <c r="D59" i="11"/>
  <c r="E59" i="11" s="1"/>
  <c r="G59" i="11" s="1"/>
  <c r="C61" i="11"/>
  <c r="C58" i="11"/>
  <c r="D58" i="11" s="1"/>
  <c r="E58" i="11" l="1"/>
  <c r="G58" i="11" s="1"/>
  <c r="K58" i="11"/>
  <c r="G61" i="11"/>
  <c r="H58" i="11"/>
  <c r="E61" i="11"/>
  <c r="I61" i="11" l="1"/>
  <c r="I59" i="11"/>
  <c r="I60" i="11"/>
  <c r="D108" i="9" l="1"/>
  <c r="H74" i="5" l="1"/>
  <c r="H73" i="5"/>
  <c r="H27" i="5"/>
  <c r="H88" i="5"/>
  <c r="H68" i="5"/>
  <c r="H35" i="5"/>
  <c r="H60" i="5"/>
  <c r="H26" i="5"/>
  <c r="F27" i="5"/>
  <c r="F88" i="5"/>
  <c r="F68" i="5"/>
  <c r="F35" i="5"/>
  <c r="F60" i="5"/>
  <c r="F26" i="5"/>
  <c r="F50" i="5"/>
  <c r="F74" i="5"/>
  <c r="F73" i="5"/>
  <c r="F84" i="5" l="1"/>
  <c r="F86" i="5" s="1"/>
  <c r="G86" i="5" s="1"/>
  <c r="I74" i="5"/>
  <c r="K74" i="5" s="1"/>
  <c r="I50" i="5"/>
  <c r="K50" i="5" s="1"/>
  <c r="I73" i="5"/>
  <c r="K73" i="5" s="1"/>
  <c r="I88" i="5"/>
  <c r="I60" i="5"/>
  <c r="K60" i="5" s="1"/>
  <c r="I35" i="5"/>
  <c r="K35" i="5" s="1"/>
  <c r="I68" i="5"/>
  <c r="K68" i="5" s="1"/>
  <c r="I27" i="5"/>
  <c r="K27" i="5" s="1"/>
  <c r="I26" i="5"/>
  <c r="K26" i="5" s="1"/>
  <c r="Q39" i="5"/>
  <c r="Q32" i="5"/>
  <c r="D2" i="11" l="1"/>
  <c r="G20" i="11" l="1"/>
  <c r="E21" i="11" s="1"/>
  <c r="Q30" i="5" l="1"/>
  <c r="Q31" i="5"/>
  <c r="Q33" i="5"/>
  <c r="Q28" i="5"/>
  <c r="Q27" i="5"/>
  <c r="Q36" i="5"/>
  <c r="Q37" i="5"/>
  <c r="Q38" i="5"/>
  <c r="Q35" i="5"/>
  <c r="Q34" i="5"/>
  <c r="K39" i="11" l="1"/>
  <c r="H6" i="11" l="1"/>
  <c r="F131" i="9" l="1"/>
  <c r="F132" i="9"/>
  <c r="F133" i="9"/>
  <c r="F130" i="9"/>
  <c r="D175" i="9" l="1"/>
  <c r="J3" i="11" l="1"/>
  <c r="O23" i="11" l="1"/>
  <c r="O22" i="11"/>
  <c r="P29" i="11" l="1"/>
  <c r="P28" i="11"/>
  <c r="P25" i="11"/>
  <c r="P26" i="11" s="1"/>
  <c r="Q26" i="11" s="1"/>
  <c r="Q29" i="11" l="1"/>
  <c r="I145" i="9"/>
  <c r="I147" i="9" s="1"/>
  <c r="I8" i="11" l="1"/>
  <c r="F2" i="11"/>
  <c r="C14" i="11"/>
  <c r="M8" i="9"/>
  <c r="F30" i="9"/>
  <c r="C94" i="9"/>
  <c r="P14" i="11" l="1"/>
  <c r="F25" i="9" l="1"/>
  <c r="F26" i="9"/>
  <c r="F27" i="9"/>
  <c r="F28" i="9"/>
  <c r="F29" i="9"/>
  <c r="F24" i="9"/>
  <c r="J26" i="9" s="1"/>
  <c r="F141" i="9"/>
  <c r="F142" i="9"/>
  <c r="F143" i="9"/>
  <c r="F144" i="9"/>
  <c r="F145" i="9"/>
  <c r="F146" i="9"/>
  <c r="F147" i="9"/>
  <c r="F148" i="9"/>
  <c r="F140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35" i="9"/>
  <c r="J40" i="9" s="1"/>
  <c r="F77" i="9"/>
  <c r="J78" i="9" s="1"/>
  <c r="F78" i="9"/>
  <c r="F79" i="9"/>
  <c r="F80" i="9"/>
  <c r="F81" i="9"/>
  <c r="F82" i="9"/>
  <c r="F76" i="9"/>
  <c r="F60" i="9"/>
  <c r="F61" i="9"/>
  <c r="F62" i="9"/>
  <c r="F63" i="9"/>
  <c r="F64" i="9"/>
  <c r="F65" i="9"/>
  <c r="F66" i="9"/>
  <c r="F67" i="9"/>
  <c r="F68" i="9"/>
  <c r="F69" i="9"/>
  <c r="F59" i="9"/>
  <c r="F192" i="9"/>
  <c r="F193" i="9"/>
  <c r="F194" i="9"/>
  <c r="F195" i="9"/>
  <c r="F196" i="9"/>
  <c r="F197" i="9"/>
  <c r="F198" i="9"/>
  <c r="F199" i="9"/>
  <c r="F200" i="9"/>
  <c r="F201" i="9"/>
  <c r="F191" i="9"/>
  <c r="B51" i="9"/>
  <c r="F51" i="9" l="1"/>
  <c r="J143" i="9"/>
  <c r="B108" i="9" l="1"/>
  <c r="F106" i="9"/>
  <c r="C107" i="9"/>
  <c r="F14" i="11" l="1"/>
  <c r="F16" i="11" s="1"/>
  <c r="K5" i="11" l="1"/>
  <c r="L5" i="11" s="1"/>
  <c r="O9" i="11"/>
  <c r="O10" i="11" s="1"/>
  <c r="K22" i="11"/>
  <c r="K23" i="11" s="1"/>
  <c r="K25" i="11" s="1"/>
  <c r="K26" i="11" s="1"/>
  <c r="L6" i="11" l="1"/>
  <c r="L7" i="11" s="1"/>
  <c r="B15" i="9" l="1"/>
  <c r="C6" i="11" l="1"/>
  <c r="D5" i="11"/>
  <c r="D14" i="11"/>
  <c r="E7" i="11"/>
  <c r="F3" i="11"/>
  <c r="E3" i="11"/>
  <c r="G3" i="11" l="1"/>
  <c r="C51" i="9"/>
  <c r="J31" i="11" l="1"/>
  <c r="J30" i="11"/>
  <c r="C175" i="9" l="1"/>
  <c r="C150" i="9" l="1"/>
  <c r="C203" i="9"/>
  <c r="F206" i="9" l="1"/>
  <c r="G206" i="9" s="1"/>
  <c r="E187" i="9"/>
  <c r="E149" i="9"/>
  <c r="F126" i="9"/>
  <c r="G126" i="9" s="1"/>
  <c r="E93" i="9"/>
  <c r="E92" i="9"/>
  <c r="E91" i="9"/>
  <c r="E90" i="9"/>
  <c r="E89" i="9"/>
  <c r="E88" i="9"/>
  <c r="E87" i="9"/>
  <c r="E86" i="9"/>
  <c r="E85" i="9"/>
  <c r="E84" i="9"/>
  <c r="E83" i="9"/>
  <c r="E55" i="9"/>
  <c r="E12" i="9" l="1"/>
  <c r="E11" i="9"/>
  <c r="E10" i="9"/>
  <c r="E9" i="9"/>
  <c r="E8" i="9"/>
  <c r="E7" i="9"/>
  <c r="E6" i="9"/>
  <c r="E13" i="9" l="1"/>
  <c r="E5" i="9"/>
  <c r="E4" i="9"/>
  <c r="E3" i="9"/>
  <c r="J23" i="9" l="1"/>
  <c r="N15" i="9"/>
  <c r="N16" i="9"/>
  <c r="N17" i="9"/>
  <c r="N18" i="9"/>
  <c r="N19" i="9"/>
  <c r="N20" i="9"/>
  <c r="N21" i="9"/>
  <c r="N14" i="9"/>
  <c r="N23" i="9" l="1"/>
  <c r="T13" i="9" s="1"/>
  <c r="T19" i="9" s="1"/>
  <c r="F70" i="9" l="1"/>
  <c r="G70" i="9" s="1"/>
  <c r="F20" i="9"/>
  <c r="G20" i="9" s="1"/>
  <c r="F154" i="9" l="1"/>
  <c r="G154" i="9" s="1"/>
  <c r="F149" i="9"/>
  <c r="G149" i="9" s="1"/>
  <c r="H19" i="1" l="1"/>
  <c r="I19" i="1" s="1"/>
  <c r="D202" i="9"/>
  <c r="F202" i="9" s="1"/>
  <c r="G202" i="9" s="1"/>
  <c r="F55" i="9" l="1"/>
  <c r="G55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63" i="9"/>
  <c r="G163" i="9" s="1"/>
  <c r="F125" i="9" l="1"/>
  <c r="G125" i="9" s="1"/>
  <c r="F19" i="9"/>
  <c r="G19" i="9" s="1"/>
  <c r="F153" i="9"/>
  <c r="G153" i="9" s="1"/>
  <c r="H16" i="1" l="1"/>
  <c r="H17" i="1"/>
  <c r="I17" i="1" s="1"/>
  <c r="H18" i="1"/>
  <c r="I18" i="1" s="1"/>
  <c r="I16" i="1" l="1"/>
  <c r="D51" i="9"/>
  <c r="F46" i="12" l="1"/>
  <c r="F45" i="12"/>
  <c r="F38" i="12"/>
  <c r="F37" i="12"/>
  <c r="F36" i="12"/>
  <c r="R30" i="12"/>
  <c r="S29" i="12"/>
  <c r="K28" i="12"/>
  <c r="J28" i="12"/>
  <c r="V27" i="12"/>
  <c r="V26" i="12"/>
  <c r="V25" i="12"/>
  <c r="V24" i="12"/>
  <c r="V23" i="12"/>
  <c r="V22" i="12"/>
  <c r="N22" i="12"/>
  <c r="O22" i="12" s="1"/>
  <c r="V21" i="12"/>
  <c r="N21" i="12"/>
  <c r="O21" i="12" s="1"/>
  <c r="V20" i="12"/>
  <c r="N20" i="12"/>
  <c r="O20" i="12" s="1"/>
  <c r="V19" i="12"/>
  <c r="N19" i="12"/>
  <c r="O19" i="12" s="1"/>
  <c r="V18" i="12"/>
  <c r="N18" i="12"/>
  <c r="O18" i="12" s="1"/>
  <c r="AB17" i="12"/>
  <c r="AA17" i="12"/>
  <c r="Z17" i="12"/>
  <c r="V17" i="12"/>
  <c r="N17" i="12"/>
  <c r="O17" i="12" s="1"/>
  <c r="V16" i="12"/>
  <c r="N16" i="12"/>
  <c r="V15" i="12"/>
  <c r="N15" i="12"/>
  <c r="O15" i="12" s="1"/>
  <c r="AB14" i="12"/>
  <c r="V14" i="12"/>
  <c r="N14" i="12"/>
  <c r="O14" i="12" s="1"/>
  <c r="AD13" i="12"/>
  <c r="V13" i="12"/>
  <c r="N13" i="12"/>
  <c r="O13" i="12" s="1"/>
  <c r="AD12" i="12"/>
  <c r="V12" i="12"/>
  <c r="N12" i="12"/>
  <c r="O12" i="12" s="1"/>
  <c r="AD11" i="12"/>
  <c r="V11" i="12"/>
  <c r="N11" i="12"/>
  <c r="O11" i="12" s="1"/>
  <c r="AD10" i="12"/>
  <c r="V10" i="12"/>
  <c r="N10" i="12"/>
  <c r="O10" i="12" s="1"/>
  <c r="AD9" i="12"/>
  <c r="V9" i="12"/>
  <c r="N9" i="12"/>
  <c r="O9" i="12" s="1"/>
  <c r="AD8" i="12"/>
  <c r="V8" i="12"/>
  <c r="N8" i="12"/>
  <c r="O8" i="12" s="1"/>
  <c r="AD7" i="12"/>
  <c r="V7" i="12"/>
  <c r="N7" i="12"/>
  <c r="O7" i="12" s="1"/>
  <c r="AD6" i="12"/>
  <c r="V6" i="12"/>
  <c r="N6" i="12"/>
  <c r="O6" i="12" s="1"/>
  <c r="AD5" i="12"/>
  <c r="V5" i="12"/>
  <c r="N5" i="12"/>
  <c r="O5" i="12" s="1"/>
  <c r="AD4" i="12"/>
  <c r="V4" i="12"/>
  <c r="N4" i="12"/>
  <c r="O4" i="12" s="1"/>
  <c r="AD3" i="12"/>
  <c r="V3" i="12"/>
  <c r="N3" i="12"/>
  <c r="O3" i="12" s="1"/>
  <c r="D31" i="12"/>
  <c r="B31" i="12"/>
  <c r="C29" i="12"/>
  <c r="F28" i="12"/>
  <c r="F27" i="12"/>
  <c r="F26" i="12"/>
  <c r="F25" i="12"/>
  <c r="F24" i="12"/>
  <c r="F23" i="12"/>
  <c r="F22" i="12"/>
  <c r="F21" i="12"/>
  <c r="D17" i="12"/>
  <c r="B17" i="12"/>
  <c r="C16" i="12"/>
  <c r="F14" i="12"/>
  <c r="F13" i="12"/>
  <c r="F12" i="12"/>
  <c r="F11" i="12"/>
  <c r="F10" i="12"/>
  <c r="F9" i="12"/>
  <c r="F8" i="12"/>
  <c r="F7" i="12"/>
  <c r="F6" i="12"/>
  <c r="F5" i="12"/>
  <c r="F4" i="12"/>
  <c r="F3" i="12"/>
  <c r="F31" i="12" l="1"/>
  <c r="V30" i="12"/>
  <c r="AA18" i="12"/>
  <c r="F17" i="12"/>
  <c r="N28" i="12"/>
  <c r="O16" i="12"/>
  <c r="B121" i="9" l="1"/>
  <c r="F117" i="9"/>
  <c r="G117" i="9" s="1"/>
  <c r="F118" i="9"/>
  <c r="G118" i="9" s="1"/>
  <c r="F119" i="9"/>
  <c r="G119" i="9" s="1"/>
  <c r="F114" i="9"/>
  <c r="G114" i="9" s="1"/>
  <c r="F115" i="9"/>
  <c r="G115" i="9" s="1"/>
  <c r="F116" i="9"/>
  <c r="G116" i="9" s="1"/>
  <c r="F113" i="9"/>
  <c r="G113" i="9" s="1"/>
  <c r="F112" i="9"/>
  <c r="G112" i="9" s="1"/>
  <c r="F121" i="9" l="1"/>
  <c r="N47" i="1" l="1"/>
  <c r="N35" i="1" l="1"/>
  <c r="O31" i="1" l="1"/>
  <c r="Q17" i="5" l="1"/>
  <c r="Q21" i="5" l="1"/>
  <c r="Q26" i="5"/>
  <c r="Q19" i="5"/>
  <c r="Q12" i="5"/>
  <c r="Q16" i="5"/>
  <c r="Q14" i="5"/>
  <c r="Q9" i="5"/>
  <c r="H11" i="1" l="1"/>
  <c r="H6" i="1" l="1"/>
  <c r="C26" i="8" l="1"/>
  <c r="F185" i="9"/>
  <c r="G185" i="9" s="1"/>
  <c r="J30" i="6"/>
  <c r="K29" i="6"/>
  <c r="N27" i="6"/>
  <c r="M56" i="8"/>
  <c r="P55" i="8"/>
  <c r="Q55" i="8" s="1"/>
  <c r="F24" i="8"/>
  <c r="G24" i="8" s="1"/>
  <c r="L57" i="8" l="1"/>
  <c r="B187" i="9"/>
  <c r="F37" i="6"/>
  <c r="F38" i="6"/>
  <c r="F36" i="6"/>
  <c r="P54" i="8"/>
  <c r="Q54" i="8" s="1"/>
  <c r="P53" i="8"/>
  <c r="Q53" i="8" s="1"/>
  <c r="P52" i="8"/>
  <c r="Q52" i="8" s="1"/>
  <c r="P14" i="8"/>
  <c r="N17" i="8"/>
  <c r="L17" i="8"/>
  <c r="F180" i="9" l="1"/>
  <c r="G180" i="9" s="1"/>
  <c r="F181" i="9"/>
  <c r="G181" i="9" s="1"/>
  <c r="F182" i="9"/>
  <c r="G182" i="9" s="1"/>
  <c r="F183" i="9"/>
  <c r="G183" i="9" s="1"/>
  <c r="F184" i="9"/>
  <c r="G184" i="9" s="1"/>
  <c r="F179" i="9"/>
  <c r="G179" i="9" s="1"/>
  <c r="F187" i="9" l="1"/>
  <c r="D13" i="7"/>
  <c r="B13" i="7"/>
  <c r="M16" i="8"/>
  <c r="P13" i="8"/>
  <c r="F22" i="6"/>
  <c r="G22" i="6" s="1"/>
  <c r="F21" i="6"/>
  <c r="G21" i="6" s="1"/>
  <c r="N26" i="6"/>
  <c r="F23" i="8" l="1"/>
  <c r="G23" i="8" s="1"/>
  <c r="P12" i="8" l="1"/>
  <c r="N24" i="6" l="1"/>
  <c r="N25" i="6"/>
  <c r="C187" i="9"/>
  <c r="D187" i="9"/>
  <c r="C28" i="6" l="1"/>
  <c r="B28" i="6"/>
  <c r="H35" i="1" l="1"/>
  <c r="I35" i="1" s="1"/>
  <c r="N23" i="6"/>
  <c r="H47" i="1" l="1"/>
  <c r="I47" i="1" s="1"/>
  <c r="H13" i="1" l="1"/>
  <c r="I13" i="1" s="1"/>
  <c r="F4" i="8" l="1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T17" i="6" l="1"/>
  <c r="S17" i="6"/>
  <c r="S18" i="6" s="1"/>
  <c r="R17" i="6"/>
  <c r="D43" i="8"/>
  <c r="C43" i="8"/>
  <c r="D46" i="8" s="1"/>
  <c r="B44" i="8"/>
  <c r="P51" i="8" l="1"/>
  <c r="Q51" i="8" s="1"/>
  <c r="P50" i="8"/>
  <c r="Q50" i="8" s="1"/>
  <c r="H10" i="1" l="1"/>
  <c r="H3" i="1"/>
  <c r="H8" i="1"/>
  <c r="H5" i="1"/>
  <c r="H48" i="1"/>
  <c r="H40" i="1"/>
  <c r="H12" i="1"/>
  <c r="H7" i="1"/>
  <c r="H14" i="1"/>
  <c r="H15" i="1"/>
  <c r="H4" i="1"/>
  <c r="H27" i="1"/>
  <c r="O30" i="1" s="1"/>
  <c r="H21" i="1"/>
  <c r="H41" i="1"/>
  <c r="H22" i="1"/>
  <c r="H30" i="1"/>
  <c r="H31" i="1"/>
  <c r="H42" i="1"/>
  <c r="H32" i="1"/>
  <c r="H34" i="1"/>
  <c r="H49" i="1"/>
  <c r="H24" i="1" l="1"/>
  <c r="L15" i="1"/>
  <c r="I21" i="1"/>
  <c r="N22" i="6"/>
  <c r="N21" i="6"/>
  <c r="H38" i="1" l="1"/>
  <c r="O37" i="1" s="1"/>
  <c r="I26" i="1"/>
  <c r="F20" i="6"/>
  <c r="G20" i="6" s="1"/>
  <c r="Q23" i="5" l="1"/>
  <c r="Q22" i="5"/>
  <c r="Q2" i="5"/>
  <c r="P11" i="8" l="1"/>
  <c r="F99" i="9" l="1"/>
  <c r="F100" i="9"/>
  <c r="F101" i="9"/>
  <c r="F102" i="9"/>
  <c r="F103" i="9"/>
  <c r="F104" i="9"/>
  <c r="F105" i="9"/>
  <c r="B95" i="9"/>
  <c r="F93" i="9"/>
  <c r="G93" i="9" s="1"/>
  <c r="D15" i="9"/>
  <c r="F92" i="9"/>
  <c r="G92" i="9" s="1"/>
  <c r="C14" i="9"/>
  <c r="F91" i="9"/>
  <c r="G91" i="9" s="1"/>
  <c r="F13" i="9"/>
  <c r="G13" i="9" s="1"/>
  <c r="F90" i="9"/>
  <c r="G90" i="9" s="1"/>
  <c r="F12" i="9"/>
  <c r="G12" i="9" s="1"/>
  <c r="F89" i="9"/>
  <c r="G89" i="9" s="1"/>
  <c r="F11" i="9"/>
  <c r="G11" i="9" s="1"/>
  <c r="F88" i="9"/>
  <c r="G88" i="9" s="1"/>
  <c r="F10" i="9"/>
  <c r="G10" i="9" s="1"/>
  <c r="F87" i="9"/>
  <c r="G87" i="9" s="1"/>
  <c r="F9" i="9"/>
  <c r="G9" i="9" s="1"/>
  <c r="F86" i="9"/>
  <c r="G86" i="9" s="1"/>
  <c r="F8" i="9"/>
  <c r="G8" i="9" s="1"/>
  <c r="F85" i="9"/>
  <c r="G85" i="9" s="1"/>
  <c r="F7" i="9"/>
  <c r="G7" i="9" s="1"/>
  <c r="F84" i="9"/>
  <c r="G84" i="9" s="1"/>
  <c r="F6" i="9"/>
  <c r="G6" i="9" s="1"/>
  <c r="F83" i="9"/>
  <c r="G83" i="9" s="1"/>
  <c r="F5" i="9"/>
  <c r="G5" i="9" s="1"/>
  <c r="F4" i="9"/>
  <c r="G4" i="9" s="1"/>
  <c r="F3" i="9"/>
  <c r="B136" i="9"/>
  <c r="C135" i="9"/>
  <c r="F134" i="9"/>
  <c r="G134" i="9" s="1"/>
  <c r="N20" i="6"/>
  <c r="N19" i="6"/>
  <c r="F19" i="6"/>
  <c r="G19" i="6" s="1"/>
  <c r="N18" i="6"/>
  <c r="F18" i="6"/>
  <c r="G18" i="6" s="1"/>
  <c r="N17" i="6"/>
  <c r="F17" i="6"/>
  <c r="G17" i="6" s="1"/>
  <c r="N16" i="6"/>
  <c r="F16" i="6"/>
  <c r="G16" i="6" s="1"/>
  <c r="N15" i="6"/>
  <c r="F15" i="6"/>
  <c r="G15" i="6" s="1"/>
  <c r="T14" i="6"/>
  <c r="N14" i="6"/>
  <c r="F14" i="6"/>
  <c r="G14" i="6" s="1"/>
  <c r="V13" i="6"/>
  <c r="N13" i="6"/>
  <c r="F13" i="6"/>
  <c r="G13" i="6" s="1"/>
  <c r="V12" i="6"/>
  <c r="N12" i="6"/>
  <c r="F12" i="6"/>
  <c r="G12" i="6" s="1"/>
  <c r="V11" i="6"/>
  <c r="N11" i="6"/>
  <c r="F11" i="6"/>
  <c r="G11" i="6" s="1"/>
  <c r="V10" i="6"/>
  <c r="N10" i="6"/>
  <c r="F10" i="6"/>
  <c r="G10" i="6" s="1"/>
  <c r="V9" i="6"/>
  <c r="N9" i="6"/>
  <c r="F9" i="6"/>
  <c r="G9" i="6" s="1"/>
  <c r="V8" i="6"/>
  <c r="N8" i="6"/>
  <c r="F8" i="6"/>
  <c r="G8" i="6" s="1"/>
  <c r="V7" i="6"/>
  <c r="N7" i="6"/>
  <c r="F7" i="6"/>
  <c r="G7" i="6" s="1"/>
  <c r="V6" i="6"/>
  <c r="N6" i="6"/>
  <c r="F6" i="6"/>
  <c r="G6" i="6" s="1"/>
  <c r="V5" i="6"/>
  <c r="N5" i="6"/>
  <c r="F5" i="6"/>
  <c r="G5" i="6" s="1"/>
  <c r="V4" i="6"/>
  <c r="N4" i="6"/>
  <c r="F4" i="6"/>
  <c r="G4" i="6" s="1"/>
  <c r="V3" i="6"/>
  <c r="N3" i="6"/>
  <c r="F3" i="6"/>
  <c r="O15" i="7"/>
  <c r="M15" i="7"/>
  <c r="N14" i="7"/>
  <c r="Q13" i="7"/>
  <c r="Q12" i="7"/>
  <c r="Q11" i="7"/>
  <c r="C11" i="7"/>
  <c r="Q10" i="7"/>
  <c r="F10" i="7"/>
  <c r="Q9" i="7"/>
  <c r="F9" i="7"/>
  <c r="Q8" i="7"/>
  <c r="F8" i="7"/>
  <c r="Q7" i="7"/>
  <c r="F7" i="7"/>
  <c r="Q6" i="7"/>
  <c r="F6" i="7"/>
  <c r="Q5" i="7"/>
  <c r="F5" i="7"/>
  <c r="Q4" i="7"/>
  <c r="F4" i="7"/>
  <c r="Q3" i="7"/>
  <c r="F3" i="7"/>
  <c r="P49" i="8"/>
  <c r="Q49" i="8" s="1"/>
  <c r="P48" i="8"/>
  <c r="Q48" i="8" s="1"/>
  <c r="P47" i="8"/>
  <c r="Q47" i="8" s="1"/>
  <c r="P46" i="8"/>
  <c r="Q46" i="8" s="1"/>
  <c r="P45" i="8"/>
  <c r="Q45" i="8" s="1"/>
  <c r="P44" i="8"/>
  <c r="Q44" i="8" s="1"/>
  <c r="P43" i="8"/>
  <c r="Q43" i="8" s="1"/>
  <c r="P42" i="8"/>
  <c r="Q42" i="8" s="1"/>
  <c r="F42" i="8"/>
  <c r="P41" i="8"/>
  <c r="Q41" i="8" s="1"/>
  <c r="F41" i="8"/>
  <c r="P40" i="8"/>
  <c r="Q40" i="8" s="1"/>
  <c r="F40" i="8"/>
  <c r="P39" i="8"/>
  <c r="Q39" i="8" s="1"/>
  <c r="F39" i="8"/>
  <c r="P38" i="8"/>
  <c r="Q38" i="8" s="1"/>
  <c r="F38" i="8"/>
  <c r="P37" i="8"/>
  <c r="Q37" i="8" s="1"/>
  <c r="F37" i="8"/>
  <c r="P36" i="8"/>
  <c r="Q36" i="8" s="1"/>
  <c r="F36" i="8"/>
  <c r="P35" i="8"/>
  <c r="Q35" i="8" s="1"/>
  <c r="F35" i="8"/>
  <c r="P34" i="8"/>
  <c r="Q34" i="8" s="1"/>
  <c r="F34" i="8"/>
  <c r="P33" i="8"/>
  <c r="Q33" i="8" s="1"/>
  <c r="F33" i="8"/>
  <c r="P32" i="8"/>
  <c r="Q32" i="8" s="1"/>
  <c r="F32" i="8"/>
  <c r="P10" i="8"/>
  <c r="P9" i="8"/>
  <c r="P8" i="8"/>
  <c r="P7" i="8"/>
  <c r="P6" i="8"/>
  <c r="P5" i="8"/>
  <c r="P4" i="8"/>
  <c r="H4" i="8"/>
  <c r="P3" i="8"/>
  <c r="P17" i="8" s="1"/>
  <c r="H3" i="8"/>
  <c r="F3" i="8"/>
  <c r="G3" i="8" s="1"/>
  <c r="G95" i="9" l="1"/>
  <c r="J101" i="9"/>
  <c r="J63" i="9"/>
  <c r="M54" i="9" s="1"/>
  <c r="F108" i="9"/>
  <c r="J193" i="9"/>
  <c r="G3" i="9"/>
  <c r="F15" i="9"/>
  <c r="G15" i="9" s="1"/>
  <c r="F136" i="9"/>
  <c r="P57" i="8"/>
  <c r="N30" i="6"/>
  <c r="F28" i="6"/>
  <c r="F13" i="7"/>
  <c r="F95" i="9"/>
  <c r="Q15" i="7"/>
  <c r="G3" i="6"/>
  <c r="O38" i="9" l="1"/>
  <c r="O28" i="9" s="1"/>
  <c r="H45" i="1" l="1"/>
  <c r="I45" i="1" s="1"/>
  <c r="H46" i="1" l="1"/>
  <c r="P11" i="1" l="1"/>
  <c r="P9" i="1"/>
  <c r="I34" i="1" l="1"/>
  <c r="I33" i="1" l="1"/>
  <c r="I30" i="1"/>
  <c r="I11" i="1" l="1"/>
  <c r="I22" i="1" l="1"/>
  <c r="I31" i="1"/>
  <c r="I4" i="1"/>
  <c r="I8" i="1"/>
  <c r="I6" i="1" l="1"/>
  <c r="H43" i="1"/>
  <c r="I40" i="1"/>
  <c r="I15" i="1"/>
  <c r="I3" i="1"/>
  <c r="I41" i="1"/>
  <c r="I32" i="1"/>
  <c r="I7" i="1"/>
  <c r="I10" i="1"/>
  <c r="H44" i="1"/>
  <c r="I44" i="1" s="1"/>
  <c r="I14" i="1"/>
  <c r="I27" i="1"/>
  <c r="I46" i="1"/>
  <c r="I48" i="1"/>
  <c r="I5" i="1"/>
  <c r="I12" i="1" l="1"/>
  <c r="I24" i="1" s="1"/>
  <c r="I42" i="1"/>
  <c r="I43" i="1"/>
  <c r="I49" i="1"/>
  <c r="K9" i="1" l="1"/>
  <c r="I36" i="1"/>
  <c r="P37" i="1"/>
  <c r="D38" i="1"/>
  <c r="K37" i="1"/>
  <c r="E26" i="1"/>
  <c r="G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tc={55C267F1-106C-47B5-A560-292EAFB30E41}</author>
    <author>Niranjana Datta K A</author>
  </authors>
  <commentList>
    <comment ref="L5" authorId="0" shapeId="0" xr:uid="{55C267F1-106C-47B5-A560-292EAFB30E41}">
      <text>
        <t>[Threaded comment]
Your version of Excel allows you to read this threaded comment; however, any edits to it will get removed if the file is opened in a newer version of Excel. Learn more: https://go.microsoft.com/fwlink/?linkid=870924
Comment:
    371036+124315</t>
      </text>
    </comment>
    <comment ref="G21" authorId="1" shapeId="0" xr:uid="{00000000-0006-0000-0000-000001000000}">
      <text>
        <r>
          <rPr>
            <sz val="9"/>
            <color indexed="81"/>
            <rFont val="Tahoma"/>
            <family val="2"/>
          </rPr>
          <t>5Nov</t>
        </r>
      </text>
    </comment>
    <comment ref="G22" authorId="1" shapeId="0" xr:uid="{00000000-0006-0000-0000-000002000000}">
      <text>
        <r>
          <rPr>
            <sz val="9"/>
            <color indexed="81"/>
            <rFont val="Tahoma"/>
            <family val="2"/>
          </rPr>
          <t>04Nov2020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Niranjana Datta K A</author>
  </authors>
  <commentList>
    <comment ref="O3" authorId="0" shapeId="0" xr:uid="{00000000-0006-0000-0200-000001000000}">
      <text>
        <r>
          <rPr>
            <sz val="9"/>
            <color indexed="81"/>
            <rFont val="Tahoma"/>
            <family val="2"/>
          </rPr>
          <t>1Nov2019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Niranjana Datta K A</author>
  </authors>
  <commentList>
    <comment ref="E3" authorId="0" shapeId="0" xr:uid="{00000000-0006-0000-0400-000001000000}">
      <text>
        <r>
          <rPr>
            <sz val="9"/>
            <color indexed="81"/>
            <rFont val="Tahoma"/>
            <family val="2"/>
          </rPr>
          <t>26september2019</t>
        </r>
      </text>
    </comment>
    <comment ref="M3" authorId="0" shapeId="0" xr:uid="{00000000-0006-0000-0400-000002000000}">
      <text>
        <r>
          <rPr>
            <sz val="9"/>
            <color indexed="81"/>
            <rFont val="Tahoma"/>
            <family val="2"/>
          </rPr>
          <t>1Nov2019</t>
        </r>
      </text>
    </comment>
    <comment ref="U3" authorId="0" shapeId="0" xr:uid="{00000000-0006-0000-0400-000003000000}">
      <text>
        <r>
          <rPr>
            <sz val="9"/>
            <color indexed="81"/>
            <rFont val="Tahoma"/>
            <family val="2"/>
          </rPr>
          <t>26Sep2019</t>
        </r>
      </text>
    </comment>
    <comment ref="E36" authorId="0" shapeId="0" xr:uid="{00000000-0006-0000-0400-000004000000}">
      <text>
        <r>
          <rPr>
            <sz val="9"/>
            <color indexed="81"/>
            <rFont val="Tahoma"/>
            <family val="2"/>
          </rPr>
          <t>26Sep2019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Niranjana Datta K A</author>
  </authors>
  <commentList>
    <comment ref="E3" authorId="0" shapeId="0" xr:uid="{00000000-0006-0000-0300-000001000000}">
      <text>
        <r>
          <rPr>
            <sz val="9"/>
            <color indexed="81"/>
            <rFont val="Tahoma"/>
            <family val="2"/>
          </rPr>
          <t>26Sep2019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Niranjana Datta K A</author>
  </authors>
  <commentList>
    <comment ref="E3" authorId="0" shapeId="0" xr:uid="{00000000-0006-0000-0C00-000001000000}">
      <text>
        <r>
          <rPr>
            <sz val="9"/>
            <color indexed="81"/>
            <rFont val="Tahoma"/>
            <family val="2"/>
          </rPr>
          <t>1Nov2019</t>
        </r>
      </text>
    </comment>
    <comment ref="M3" authorId="0" shapeId="0" xr:uid="{00000000-0006-0000-0C00-000002000000}">
      <text>
        <r>
          <rPr>
            <sz val="9"/>
            <color indexed="81"/>
            <rFont val="Tahoma"/>
            <family val="2"/>
          </rPr>
          <t>26september2019</t>
        </r>
      </text>
    </comment>
    <comment ref="U3" authorId="0" shapeId="0" xr:uid="{00000000-0006-0000-0C00-000003000000}">
      <text>
        <r>
          <rPr>
            <sz val="9"/>
            <color indexed="81"/>
            <rFont val="Tahoma"/>
            <family val="2"/>
          </rPr>
          <t>1Nov2019</t>
        </r>
      </text>
    </comment>
    <comment ref="AC3" authorId="0" shapeId="0" xr:uid="{00000000-0006-0000-0C00-000004000000}">
      <text>
        <r>
          <rPr>
            <sz val="9"/>
            <color indexed="81"/>
            <rFont val="Tahoma"/>
            <family val="2"/>
          </rPr>
          <t>26Sep2019</t>
        </r>
      </text>
    </comment>
    <comment ref="E21" authorId="0" shapeId="0" xr:uid="{00000000-0006-0000-0C00-000005000000}">
      <text>
        <r>
          <rPr>
            <sz val="9"/>
            <color indexed="81"/>
            <rFont val="Tahoma"/>
            <family val="2"/>
          </rPr>
          <t>26Sep2019</t>
        </r>
      </text>
    </comment>
    <comment ref="E36" authorId="0" shapeId="0" xr:uid="{00000000-0006-0000-0C00-000006000000}">
      <text>
        <r>
          <rPr>
            <sz val="9"/>
            <color indexed="81"/>
            <rFont val="Tahoma"/>
            <family val="2"/>
          </rPr>
          <t>26Sep2019</t>
        </r>
      </text>
    </comment>
    <comment ref="E45" authorId="0" shapeId="0" xr:uid="{00000000-0006-0000-0C00-000007000000}">
      <text>
        <r>
          <rPr>
            <sz val="9"/>
            <color indexed="81"/>
            <rFont val="Tahoma"/>
            <family val="2"/>
          </rPr>
          <t>13Feb2020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tc={5FCBAC12-AB4C-4D14-BEBC-86BA4E054E1F}</author>
    <author>Niranjana Datta K A</author>
    <author>tc={5A45BC62-9312-4E51-8857-B9C875389EF3}</author>
    <author>tc={A4D808C4-1602-4080-B0F4-86EB117CCCFB}</author>
    <author>tc={15FA5917-6A9E-4BAC-AD9E-20E26D5ABB8B}</author>
    <author>tc={F05AF3A7-5812-481E-9C69-8B45D708D267}</author>
    <author>tc={7A9E9249-D975-4B51-A3BB-3CE5606B8815}</author>
  </authors>
  <commentList>
    <comment ref="B2" authorId="0" shapeId="0" xr:uid="{5FCBAC12-AB4C-4D14-BEBC-86BA4E054E1F}">
      <text>
        <t>[Threaded comment]
Your version of Excel allows you to read this threaded comment; however, any edits to it will get removed if the file is opened in a newer version of Excel. Learn more: https://go.microsoft.com/fwlink/?linkid=870924
Comment:
    41061151001</t>
      </text>
    </comment>
    <comment ref="O2" authorId="1" shapeId="0" xr:uid="{00000000-0006-0000-0700-000001000000}">
      <text>
        <r>
          <rPr>
            <sz val="9"/>
            <color indexed="81"/>
            <rFont val="Tahoma"/>
            <family val="2"/>
          </rPr>
          <t>5121315000</t>
        </r>
      </text>
    </comment>
    <comment ref="D3" authorId="2" shapeId="0" xr:uid="{5A45BC62-9312-4E51-8857-B9C875389E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ProfilePassword</t>
      </text>
    </comment>
    <comment ref="P3" authorId="1" shapeId="0" xr:uid="{00000000-0006-0000-0700-000002000000}">
      <text>
        <r>
          <rPr>
            <sz val="9"/>
            <color indexed="81"/>
            <rFont val="Tahoma"/>
            <family val="2"/>
          </rPr>
          <t xml:space="preserve">9039665000
</t>
        </r>
      </text>
    </comment>
    <comment ref="C4" authorId="1" shapeId="0" xr:uid="{00000000-0006-0000-0700-000004000000}">
      <text>
        <r>
          <rPr>
            <sz val="9"/>
            <color indexed="81"/>
            <rFont val="Tahoma"/>
            <family val="2"/>
          </rPr>
          <t>Ninja10#</t>
        </r>
      </text>
    </comment>
    <comment ref="C5" authorId="3" shapeId="0" xr:uid="{A4D808C4-1602-4080-B0F4-86EB117CCCFB}">
      <text>
        <t>[Threaded comment]
Your version of Excel allows you to read this threaded comment; however, any edits to it will get removed if the file is opened in a newer version of Excel. Learn more: https://go.microsoft.com/fwlink/?linkid=870924
Comment:
    Ninja05#</t>
      </text>
    </comment>
    <comment ref="C6" authorId="1" shapeId="0" xr:uid="{504B100C-7E16-4F67-973E-C4813816E976}">
      <text>
        <r>
          <rPr>
            <sz val="9"/>
            <color indexed="81"/>
            <rFont val="Tahoma"/>
            <family val="2"/>
          </rPr>
          <t>Ninja10#</t>
        </r>
      </text>
    </comment>
    <comment ref="Q6" authorId="1" shapeId="0" xr:uid="{00000000-0006-0000-0700-000003000000}">
      <text>
        <r>
          <rPr>
            <sz val="9"/>
            <color indexed="81"/>
            <rFont val="Tahoma"/>
            <family val="2"/>
          </rPr>
          <t>5751538000</t>
        </r>
      </text>
    </comment>
    <comment ref="B8" authorId="4" shapeId="0" xr:uid="{15FA5917-6A9E-4BAC-AD9E-20E26D5ABB8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https://www.compositedge.com/</t>
      </text>
    </comment>
    <comment ref="C30" authorId="5" shapeId="0" xr:uid="{F05AF3A7-5812-481E-9C69-8B45D708D267}">
      <text>
        <t>[Threaded comment]
Your version of Excel allows you to read this threaded comment; however, any edits to it will get removed if the file is opened in a newer version of Excel. Learn more: https://go.microsoft.com/fwlink/?linkid=870924
Comment:
    Bangalore05#</t>
      </text>
    </comment>
    <comment ref="B35" authorId="6" shapeId="0" xr:uid="{7A9E9249-D975-4B51-A3BB-3CE5606B881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https://passbook.epfindia.gov.in/MemberPassBook/login</t>
      </text>
    </comment>
    <comment ref="B51" authorId="1" shapeId="0" xr:uid="{00000000-0006-0000-0700-000005000000}">
      <text>
        <r>
          <rPr>
            <sz val="9"/>
            <color indexed="81"/>
            <rFont val="Tahoma"/>
            <family val="2"/>
          </rPr>
          <t>Jeevan Mitra (Double Cover Endowment Plan) (Plan-88)
~~~~~~~~~~~~~
Date of Maturity
07/10/2031</t>
        </r>
      </text>
    </comment>
    <comment ref="B52" authorId="1" shapeId="0" xr:uid="{00000000-0006-0000-0700-000006000000}">
      <text>
        <r>
          <rPr>
            <sz val="9"/>
            <color indexed="81"/>
            <rFont val="Tahoma"/>
            <family val="2"/>
          </rPr>
          <t>Jeevan Surabhi - 25 Years (Plan-108)
~~~~~~~
Date of Maturity
07/10/2026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tc={8C049496-2A10-4C85-9E0F-F745E9B0EF44}</author>
    <author>tc={432C6304-8CAF-49A4-A34D-4130188C7F0D}</author>
    <author>tc={653C900C-199D-40BB-B4D2-456574CC1890}</author>
    <author>tc={DC42AE7C-353F-4B1C-B42C-3633514B1740}</author>
    <author>tc={3DF3C138-305A-4275-B1B7-7F5565BADBC8}</author>
    <author>tc={12EA1B98-34BF-4357-85BE-4E60268643FC}</author>
    <author>tc={DC71B816-4251-4963-8637-7885FF82F05C}</author>
    <author>tc={4C25DD2A-6090-47F9-9CFA-9D5EE0259EF6}</author>
    <author>tc={7D47C80D-8078-4A18-BF8D-4D638A096643}</author>
    <author>tc={CF7981DD-B3C9-4420-AB17-29B6215A0779}</author>
    <author>tc={42BA146C-6124-452C-B4FC-CA6741B363E2}</author>
    <author>tc={7D50C344-87E1-4BD8-8507-57D825254F63}</author>
    <author>tc={6F69AAEB-70FD-4EF0-BFDA-BFBDBDE3F1B6}</author>
    <author>tc={E4AE358E-9711-4D6A-BA17-D4523016ED6F}</author>
  </authors>
  <commentList>
    <comment ref="H6" authorId="0" shapeId="0" xr:uid="{8C049496-2A10-4C85-9E0F-F745E9B0EF44}">
      <text>
        <t>[Threaded comment]
Your version of Excel allows you to read this threaded comment; however, any edits to it will get removed if the file is opened in a newer version of Excel. Learn more: https://go.microsoft.com/fwlink/?linkid=870924
Comment:
    sheriff police</t>
      </text>
    </comment>
    <comment ref="B10" authorId="1" shapeId="0" xr:uid="{432C6304-8CAF-49A4-A34D-4130188C7F0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https://www.youtube.com/watch?v=EDH0XnejLZk</t>
      </text>
    </comment>
    <comment ref="B11" authorId="2" shapeId="0" xr:uid="{653C900C-199D-40BB-B4D2-456574CC189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https://www.youtube.com/watch?v=NcWKCfYDWUA</t>
      </text>
    </comment>
    <comment ref="B15" authorId="3" shapeId="0" xr:uid="{DC42AE7C-353F-4B1C-B42C-3633514B174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https://www.youtube.com/watch?v=mA7yOAJBnnE</t>
      </text>
    </comment>
    <comment ref="H17" authorId="4" shapeId="0" xr:uid="{3DF3C138-305A-4275-B1B7-7F5565BA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https://www.youtube.com/watch?v=aO28oToth00</t>
      </text>
    </comment>
    <comment ref="B19" authorId="5" shapeId="0" xr:uid="{12EA1B98-34BF-4357-85BE-4E60268643F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https://www.youtube.com/watch?v=R2D0vBkWmww</t>
      </text>
    </comment>
    <comment ref="B41" authorId="6" shapeId="0" xr:uid="{DC71B816-4251-4963-8637-7885FF82F05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https://maps.app.goo.gl/zg38Rmw3qmeNpbLz7</t>
      </text>
    </comment>
    <comment ref="B42" authorId="7" shapeId="0" xr:uid="{4C25DD2A-6090-47F9-9CFA-9D5EE0259EF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https://maps.app.goo.gl/s5vxpw3YQSArf2t5A</t>
      </text>
    </comment>
    <comment ref="B44" authorId="8" shapeId="0" xr:uid="{7D47C80D-8078-4A18-BF8D-4D638A09664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https://maps.app.goo.gl/jqTdRTvoq96P7adTA</t>
      </text>
    </comment>
    <comment ref="B45" authorId="9" shapeId="0" xr:uid="{CF7981DD-B3C9-4420-AB17-29B6215A077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https://youtu.be/WXpyImnyM1g?si=MpjWibhHw26BiXA3</t>
      </text>
    </comment>
    <comment ref="B47" authorId="10" shapeId="0" xr:uid="{42BA146C-6124-452C-B4FC-CA6741B363E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https://maps.app.goo.gl/CYYxod3RRay64fuFA</t>
      </text>
    </comment>
    <comment ref="B48" authorId="11" shapeId="0" xr:uid="{7D50C344-87E1-4BD8-8507-57D825254F6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https://maps.app.goo.gl/8zgYPApwyQ85bhfeA</t>
      </text>
    </comment>
    <comment ref="B50" authorId="12" shapeId="0" xr:uid="{6F69AAEB-70FD-4EF0-BFDA-BFBDBDE3F1B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https://maps.app.goo.gl/Yau4ZMsHYsbMVEfE8</t>
      </text>
    </comment>
    <comment ref="B62" authorId="13" shapeId="0" xr:uid="{E4AE358E-9711-4D6A-BA17-D4523016ED6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https://www.youtube.com/watch?v=womZ6PE7zhA</t>
      </text>
    </comment>
  </commentList>
</comments>
</file>

<file path=xl/sharedStrings.xml><?xml version="1.0" encoding="utf-8"?>
<sst xmlns="http://schemas.openxmlformats.org/spreadsheetml/2006/main" count="2522" uniqueCount="1223">
  <si>
    <t>Aditya Birla Sun Life Balanced 95 Fund</t>
  </si>
  <si>
    <t>Edelweiss Mid and Small Cap Fund</t>
  </si>
  <si>
    <t>L&amp;T India Special Situations Fund</t>
  </si>
  <si>
    <t>Tata Retirement Savings Fund</t>
  </si>
  <si>
    <t>Reliance regular savings fund-balanced</t>
  </si>
  <si>
    <t>regular</t>
  </si>
  <si>
    <t>PF</t>
  </si>
  <si>
    <t>unnati</t>
  </si>
  <si>
    <t>EPS</t>
  </si>
  <si>
    <t>Shares</t>
  </si>
  <si>
    <t>nirSBI</t>
  </si>
  <si>
    <t>nirCanara</t>
  </si>
  <si>
    <t>rent</t>
  </si>
  <si>
    <t>BNP paribas balanced fund</t>
  </si>
  <si>
    <t>hdfc prudence fund</t>
  </si>
  <si>
    <t>icici balanced fund</t>
  </si>
  <si>
    <t>HDFC mid-cap opportunity fund</t>
  </si>
  <si>
    <t>UNITS</t>
  </si>
  <si>
    <t>NAV</t>
  </si>
  <si>
    <t>Canara Robeco Emerging Equities</t>
  </si>
  <si>
    <t>Motilal Oswal Most Focused multicap 35 Fund</t>
  </si>
  <si>
    <t>Franklin India Prima Fund</t>
  </si>
  <si>
    <t>gratuity</t>
  </si>
  <si>
    <t>SBI</t>
  </si>
  <si>
    <t>Username</t>
  </si>
  <si>
    <t>Password</t>
  </si>
  <si>
    <t>susheelabhandari</t>
  </si>
  <si>
    <t>ppf</t>
  </si>
  <si>
    <t>niranjana40</t>
  </si>
  <si>
    <t>w-203554</t>
  </si>
  <si>
    <t>w-201681</t>
  </si>
  <si>
    <t>EH1476</t>
  </si>
  <si>
    <t>lg5835</t>
  </si>
  <si>
    <t>EH6020</t>
  </si>
  <si>
    <t>LG12969</t>
  </si>
  <si>
    <t>LG12970</t>
  </si>
  <si>
    <t>Annapoornamma</t>
  </si>
  <si>
    <t>niranjana401</t>
  </si>
  <si>
    <t>95od040</t>
  </si>
  <si>
    <t>Sunitha</t>
  </si>
  <si>
    <t>niranjana400</t>
  </si>
  <si>
    <t xml:space="preserve">Birla FoF - Aggressive </t>
  </si>
  <si>
    <t>canarabank</t>
  </si>
  <si>
    <t>HDFC</t>
  </si>
  <si>
    <t>~~~~~</t>
  </si>
  <si>
    <t>NIRANJANA40</t>
  </si>
  <si>
    <t>Bangalore05#</t>
  </si>
  <si>
    <t>tata</t>
  </si>
  <si>
    <t>~~~~</t>
  </si>
  <si>
    <t>niranjana40@gmail.com</t>
  </si>
  <si>
    <t>birla</t>
  </si>
  <si>
    <t>~~~~~~</t>
  </si>
  <si>
    <t>dspblackrock</t>
  </si>
  <si>
    <t>~~~~~~~~~~</t>
  </si>
  <si>
    <t>L0litha05#</t>
  </si>
  <si>
    <t>canararobeco</t>
  </si>
  <si>
    <t>~~~~~~~~~~~~~</t>
  </si>
  <si>
    <t>Nira#0708</t>
  </si>
  <si>
    <t>icici</t>
  </si>
  <si>
    <t>~~~~~~~</t>
  </si>
  <si>
    <t>Franklin</t>
  </si>
  <si>
    <t>~~~~~~~~</t>
  </si>
  <si>
    <t>sbi MF</t>
  </si>
  <si>
    <t>niranjanainvest@gmail.com</t>
  </si>
  <si>
    <t>Mirae (pin is 55555)</t>
  </si>
  <si>
    <t>L0litha005#</t>
  </si>
  <si>
    <t>L&amp;T</t>
  </si>
  <si>
    <t>PNB paribas</t>
  </si>
  <si>
    <t>~~~~~~~~~~~</t>
  </si>
  <si>
    <t>niranjana40@yahoo.com</t>
  </si>
  <si>
    <t>Gayatrinagar05#</t>
  </si>
  <si>
    <t>edelweiss</t>
  </si>
  <si>
    <t>~~~~~~~~~</t>
  </si>
  <si>
    <t>Vmware05#</t>
  </si>
  <si>
    <t>923/a</t>
  </si>
  <si>
    <t>C1EH24819</t>
  </si>
  <si>
    <t>niranjana405</t>
  </si>
  <si>
    <t>niranjana407</t>
  </si>
  <si>
    <t>niranjana408</t>
  </si>
  <si>
    <t>C1EH34078</t>
  </si>
  <si>
    <t>sheethouse</t>
  </si>
  <si>
    <t>niranjana410</t>
  </si>
  <si>
    <t>LG26205</t>
  </si>
  <si>
    <t>Jyothibakery</t>
  </si>
  <si>
    <t>niranjana411</t>
  </si>
  <si>
    <t>niranjana412</t>
  </si>
  <si>
    <t>EH8738</t>
  </si>
  <si>
    <t>EH8739</t>
  </si>
  <si>
    <t>niranjana416</t>
  </si>
  <si>
    <t>EH42590</t>
  </si>
  <si>
    <t>Reliance</t>
  </si>
  <si>
    <t>EH917</t>
  </si>
  <si>
    <t>mid-cap</t>
  </si>
  <si>
    <t>multicap</t>
  </si>
  <si>
    <t>kambleanantha@gmail.com</t>
  </si>
  <si>
    <t>HPCL</t>
  </si>
  <si>
    <t>csdl</t>
  </si>
  <si>
    <t>accounts login</t>
  </si>
  <si>
    <t>27n02</t>
  </si>
  <si>
    <t>trading login</t>
  </si>
  <si>
    <t>QLTE</t>
  </si>
  <si>
    <t>sundaram</t>
  </si>
  <si>
    <t>birla front line</t>
  </si>
  <si>
    <t>Franklin India Bluechip Fund Direct Plan Growth Optio</t>
  </si>
  <si>
    <t>largecap</t>
  </si>
  <si>
    <t>bnp</t>
  </si>
  <si>
    <t>LIC</t>
  </si>
  <si>
    <t>basic</t>
  </si>
  <si>
    <t>bonus</t>
  </si>
  <si>
    <t>food</t>
  </si>
  <si>
    <t>lta</t>
  </si>
  <si>
    <t>la</t>
  </si>
  <si>
    <t>Nir</t>
  </si>
  <si>
    <t>pf</t>
  </si>
  <si>
    <t>hra</t>
  </si>
  <si>
    <t>niranjan.kamble@gmail.com</t>
  </si>
  <si>
    <t>gmail</t>
  </si>
  <si>
    <t>niranjana.datta@gmail.com</t>
  </si>
  <si>
    <t>Saligrama05#</t>
  </si>
  <si>
    <t>invested</t>
  </si>
  <si>
    <t>Aditya birla frontline equity fund</t>
  </si>
  <si>
    <t>latha.anantha@gmail.com</t>
  </si>
  <si>
    <t>moved</t>
  </si>
  <si>
    <t>invested in sundaram midcap</t>
  </si>
  <si>
    <t>yahoo</t>
  </si>
  <si>
    <t>jio</t>
  </si>
  <si>
    <t>Hdfc standard life</t>
  </si>
  <si>
    <t>IOCL</t>
  </si>
  <si>
    <t>oil india</t>
  </si>
  <si>
    <t>Login Password: </t>
  </si>
  <si>
    <t>Transaction Password:</t>
  </si>
  <si>
    <t>SecurityName</t>
  </si>
  <si>
    <t>SecurityCode</t>
  </si>
  <si>
    <t>Buy Qty</t>
  </si>
  <si>
    <t>Buy Avg</t>
  </si>
  <si>
    <t>Buy Value</t>
  </si>
  <si>
    <t>Closing Rate</t>
  </si>
  <si>
    <t>Total Value</t>
  </si>
  <si>
    <t>UnRealized P&amp;L</t>
  </si>
  <si>
    <t>BPCL</t>
  </si>
  <si>
    <t>ICICI BANK LTD.</t>
  </si>
  <si>
    <t>IDFC LIMITED</t>
  </si>
  <si>
    <t>JAYPEE INFRATECH LTD</t>
  </si>
  <si>
    <t>IFCI-9.16%-IV-15-2-27-C-PVT</t>
  </si>
  <si>
    <t>ONGC</t>
  </si>
  <si>
    <t>HDFC mid-cap oppertunities direct fund</t>
  </si>
  <si>
    <t>Sundaram Select mid-cap</t>
  </si>
  <si>
    <t>inves</t>
  </si>
  <si>
    <t>nav</t>
  </si>
  <si>
    <t>units</t>
  </si>
  <si>
    <t>cur.Nav</t>
  </si>
  <si>
    <t>cur.Value</t>
  </si>
  <si>
    <t>Quantum Long Term Equity</t>
  </si>
  <si>
    <t>14/11/2017</t>
  </si>
  <si>
    <t>30/11/2017</t>
  </si>
  <si>
    <t>25/01/2018</t>
  </si>
  <si>
    <t>Canara Robeco Balance</t>
  </si>
  <si>
    <t>L&amp;T prudence fund</t>
  </si>
  <si>
    <t>DSP blackrock Balance</t>
  </si>
  <si>
    <t>SBI Magnum Balanced Fund</t>
  </si>
  <si>
    <t>franklin balanced fund</t>
  </si>
  <si>
    <t>birla balanced 95 fund</t>
  </si>
  <si>
    <t>24/05/2017</t>
  </si>
  <si>
    <t>16/06/2017</t>
  </si>
  <si>
    <t>20/07/2017</t>
  </si>
  <si>
    <t>28/07/2017</t>
  </si>
  <si>
    <t>03/08/2017</t>
  </si>
  <si>
    <t>18/08/2017</t>
  </si>
  <si>
    <t>04/09/2017</t>
  </si>
  <si>
    <t>21/09/2017</t>
  </si>
  <si>
    <t>02/02/2018</t>
  </si>
  <si>
    <t>05/02/2018</t>
  </si>
  <si>
    <t xml:space="preserve">Mirae Asset India Equity Fund  </t>
  </si>
  <si>
    <t>gail</t>
  </si>
  <si>
    <t>castrol</t>
  </si>
  <si>
    <t>coalIndia</t>
  </si>
  <si>
    <t>HDFC life</t>
  </si>
  <si>
    <t>KothaPro</t>
  </si>
  <si>
    <t>HCL tech</t>
  </si>
  <si>
    <t>persistent</t>
  </si>
  <si>
    <t>Mirae Asset India Equity Fund</t>
  </si>
  <si>
    <t>ditch</t>
  </si>
  <si>
    <t>Franklin india bluechip fund</t>
  </si>
  <si>
    <t>8-71-24/1</t>
  </si>
  <si>
    <t>9-42-10</t>
  </si>
  <si>
    <t>midcap</t>
  </si>
  <si>
    <t>ICICI Prudential Equity Income Fund Direct Plan Cumulative</t>
  </si>
  <si>
    <t>Principal</t>
  </si>
  <si>
    <t>L0litha05# (76534 pin)</t>
  </si>
  <si>
    <t>Principal balanced fund - 60954963</t>
  </si>
  <si>
    <t>eps</t>
  </si>
  <si>
    <t>SUNDARAM MID CAP FUND DIRECT GROWTH</t>
  </si>
  <si>
    <t>BNP Paribas Substantial Equity Hybrid Fund</t>
  </si>
  <si>
    <t>Canara Robeco Equity Debt Allocation Direct-G</t>
  </si>
  <si>
    <t>Principal Hybrid Equity Direct-G</t>
  </si>
  <si>
    <t>Mirae Asset Hybrid Equity Direct-G</t>
  </si>
  <si>
    <t>Franklin India Equity Hybrid Fund</t>
  </si>
  <si>
    <t>Invest</t>
  </si>
  <si>
    <t>date of purchase</t>
  </si>
  <si>
    <t>date of sale</t>
  </si>
  <si>
    <t>Policy #</t>
  </si>
  <si>
    <t>LIC Policy No.</t>
  </si>
  <si>
    <t>PREMIUM</t>
  </si>
  <si>
    <t>Sum assured</t>
  </si>
  <si>
    <t>Month</t>
  </si>
  <si>
    <t>StartDate</t>
  </si>
  <si>
    <t>Owner</t>
  </si>
  <si>
    <t>Niranjan</t>
  </si>
  <si>
    <t>October</t>
  </si>
  <si>
    <t>108-25yrs</t>
  </si>
  <si>
    <t>plan 88</t>
  </si>
  <si>
    <t>108-25</t>
  </si>
  <si>
    <t>DSPBR Equity &amp; Bond Direct-G</t>
  </si>
  <si>
    <t>2nd floor</t>
  </si>
  <si>
    <t>Multicap'</t>
  </si>
  <si>
    <t>HDFC Hybrid Equity Fund</t>
  </si>
  <si>
    <t>Reliance Equity Hybrid Fund</t>
  </si>
  <si>
    <t>SBI Equity Hybrid Fund</t>
  </si>
  <si>
    <t>Tata Hybrid Equity Fund</t>
  </si>
  <si>
    <t>L&amp;T Hybrid Equity Fund</t>
  </si>
  <si>
    <t>TCS</t>
  </si>
  <si>
    <t>Motherson</t>
  </si>
  <si>
    <t>perMonth</t>
  </si>
  <si>
    <t>MF-eq</t>
  </si>
  <si>
    <t>MF-cash</t>
  </si>
  <si>
    <t>mfuonline</t>
  </si>
  <si>
    <t>dividend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</si>
  <si>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</si>
  <si>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</si>
  <si>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</si>
  <si>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</si>
  <si>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</si>
  <si>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</si>
  <si>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</si>
  <si>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</si>
  <si>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</si>
  <si>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</si>
  <si>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</si>
  <si>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Sahana</t>
  </si>
  <si>
    <t>PPF</t>
  </si>
  <si>
    <t>quantum (24772)</t>
  </si>
  <si>
    <t>B@ngalore05</t>
  </si>
  <si>
    <t>cash</t>
  </si>
  <si>
    <t>debt</t>
  </si>
  <si>
    <t>irctc</t>
  </si>
  <si>
    <t>ndatta40</t>
  </si>
  <si>
    <t>nac647</t>
  </si>
  <si>
    <t>VPF</t>
  </si>
  <si>
    <t>facebook</t>
  </si>
  <si>
    <t>ravi</t>
  </si>
  <si>
    <t>moon</t>
  </si>
  <si>
    <t>mars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</si>
  <si>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</si>
  <si>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</si>
  <si>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</si>
  <si>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</si>
  <si>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</si>
  <si>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</si>
  <si>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</si>
  <si>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</si>
  <si>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</si>
  <si>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</si>
  <si>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</si>
  <si>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</si>
  <si>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UKG</t>
  </si>
  <si>
    <t>vpf</t>
  </si>
  <si>
    <t>COAL INDIA LTD--</t>
  </si>
  <si>
    <t xml:space="preserve"> </t>
  </si>
  <si>
    <t>BHARAT PETROLE--</t>
  </si>
  <si>
    <t>HINDUSTAN PETR--</t>
  </si>
  <si>
    <t>HCL TECHNOLOGI--</t>
  </si>
  <si>
    <t>CR FIN DIV DEC--</t>
  </si>
  <si>
    <t>ICICI BANK LTD--</t>
  </si>
  <si>
    <t>Persistent Sys--</t>
  </si>
  <si>
    <t>IDFC LTD--</t>
  </si>
  <si>
    <t>IDFC BANK LIMI--</t>
  </si>
  <si>
    <t>GAIL (INDIA) L--</t>
  </si>
  <si>
    <t>Castrol India--</t>
  </si>
  <si>
    <t>INDIAN OIL COR--</t>
  </si>
  <si>
    <t>OIL INDIA LIMI--</t>
  </si>
  <si>
    <t>OIL AND NATURA--</t>
  </si>
  <si>
    <t>KOTHARI PRODUC--</t>
  </si>
  <si>
    <t>INFOSYS LIMITE--</t>
  </si>
  <si>
    <t>HDFC LIFE INSU</t>
  </si>
  <si>
    <t>MothersonSumi</t>
  </si>
  <si>
    <t>Sep</t>
  </si>
  <si>
    <t>withdraw</t>
  </si>
  <si>
    <t>transfer</t>
  </si>
  <si>
    <t>citizen</t>
  </si>
  <si>
    <t>HRA</t>
  </si>
  <si>
    <t>Retirals</t>
  </si>
  <si>
    <t>LTA</t>
  </si>
  <si>
    <t>salary</t>
  </si>
  <si>
    <t>B@ng@l0re05#</t>
  </si>
  <si>
    <t>Mirae</t>
  </si>
  <si>
    <t>ICICI Prudential Equity Arbitrage Fund - 60954963</t>
  </si>
  <si>
    <t>Axis</t>
  </si>
  <si>
    <t>Kotak</t>
  </si>
  <si>
    <t xml:space="preserve">Motilal </t>
  </si>
  <si>
    <t>Mirae balanced fund</t>
  </si>
  <si>
    <t>19/06/2017</t>
  </si>
  <si>
    <t>ICICI Prudential Liquid Fund</t>
  </si>
  <si>
    <t>Motilal equity hybrid</t>
  </si>
  <si>
    <t>Axis equity hybrid</t>
  </si>
  <si>
    <t>Kotak equity hybrid</t>
  </si>
  <si>
    <t>Sundaram equity hybrid</t>
  </si>
  <si>
    <t>Sundaram</t>
  </si>
  <si>
    <t>Nippon Balance</t>
  </si>
  <si>
    <t>12/12/2016</t>
  </si>
  <si>
    <t>10/11/2016</t>
  </si>
  <si>
    <t>04/11/2016</t>
  </si>
  <si>
    <t>13/10/2016</t>
  </si>
  <si>
    <t>29/09/2016</t>
  </si>
  <si>
    <t>27/09/2016</t>
  </si>
  <si>
    <t>12/09/2016</t>
  </si>
  <si>
    <t>09/09/2016</t>
  </si>
  <si>
    <t>25/08/2016</t>
  </si>
  <si>
    <t>10/08/2016</t>
  </si>
  <si>
    <t>HDFC hybrid Equity Fund</t>
  </si>
  <si>
    <t>1st</t>
  </si>
  <si>
    <t>2nd</t>
  </si>
  <si>
    <t>ICICI Prudential Equity Arbitrage Fund</t>
  </si>
  <si>
    <t>apr</t>
  </si>
  <si>
    <t>may</t>
  </si>
  <si>
    <t>HUL</t>
  </si>
  <si>
    <t>jun</t>
  </si>
  <si>
    <t>tata equity hybrid</t>
  </si>
  <si>
    <t>childEdu</t>
  </si>
  <si>
    <t>perPay</t>
  </si>
  <si>
    <t>quantum</t>
  </si>
  <si>
    <t>mirae</t>
  </si>
  <si>
    <t>franklin</t>
  </si>
  <si>
    <t>redemption dt</t>
  </si>
  <si>
    <t>switch date</t>
  </si>
  <si>
    <t>dsp</t>
  </si>
  <si>
    <t>BNP</t>
  </si>
  <si>
    <t>canara</t>
  </si>
  <si>
    <t>2gb</t>
  </si>
  <si>
    <t>1.5gb</t>
  </si>
  <si>
    <t>1gb</t>
  </si>
  <si>
    <t>lpp</t>
  </si>
  <si>
    <t>42.8598</t>
  </si>
  <si>
    <t>42.1880</t>
  </si>
  <si>
    <t>44.0759</t>
  </si>
  <si>
    <t>ashoka</t>
  </si>
  <si>
    <t>FDC</t>
  </si>
  <si>
    <t>indoco</t>
  </si>
  <si>
    <t>laurus</t>
  </si>
  <si>
    <t>SeQuent</t>
  </si>
  <si>
    <t>Syngene</t>
  </si>
  <si>
    <t>caplinpoint</t>
  </si>
  <si>
    <t>Biocon</t>
  </si>
  <si>
    <t>PF1</t>
  </si>
  <si>
    <t>DOP</t>
  </si>
  <si>
    <t>Price</t>
  </si>
  <si>
    <t>IndocoRemidies</t>
  </si>
  <si>
    <t>Jubiliant Pharma</t>
  </si>
  <si>
    <t>Laurus</t>
  </si>
  <si>
    <t>Neuland</t>
  </si>
  <si>
    <t>Britannia</t>
  </si>
  <si>
    <t>sequent</t>
  </si>
  <si>
    <t>LAURUS LABS LI</t>
  </si>
  <si>
    <t>generic</t>
  </si>
  <si>
    <t>ASIAN PAINTS LIMITED</t>
  </si>
  <si>
    <t>CAPLIN POINT LAB LTD.</t>
  </si>
  <si>
    <t>CASTROL INDIA LIMITED</t>
  </si>
  <si>
    <t>HCL TECHNOLOGIES LTD</t>
  </si>
  <si>
    <t>HDFC LIFE INS CO LTD</t>
  </si>
  <si>
    <t>IDFC FIRST BANK LIMITED</t>
  </si>
  <si>
    <t>INFOSYS LIMITED</t>
  </si>
  <si>
    <t>KOTHARI PRODUCTS LTD</t>
  </si>
  <si>
    <t>LAURUS LABS LIMITED</t>
  </si>
  <si>
    <t>MOTHERSON SUMI SYSTEMS LT</t>
  </si>
  <si>
    <t>PIDILITE INDUSTRIES LTD</t>
  </si>
  <si>
    <t>RELIANCE INDUSTRIES LTD</t>
  </si>
  <si>
    <t>SEQUENT SCIENTIFIC LTD.</t>
  </si>
  <si>
    <t>SYNGENE INTERNATIONAL LTD</t>
  </si>
  <si>
    <t>security</t>
  </si>
  <si>
    <t>Member ID: 6370</t>
  </si>
  <si>
    <t>User Name / User ID: 27N02-6370</t>
  </si>
  <si>
    <t>opus</t>
  </si>
  <si>
    <t>advance</t>
  </si>
  <si>
    <t>children</t>
  </si>
  <si>
    <t>Done</t>
  </si>
  <si>
    <t>ITC</t>
  </si>
  <si>
    <t>ICICI Equity Arbitrage</t>
  </si>
  <si>
    <t>car</t>
  </si>
  <si>
    <t>Redeem1</t>
  </si>
  <si>
    <t>Redeem2</t>
  </si>
  <si>
    <t>Redeem3</t>
  </si>
  <si>
    <t>Redeem4</t>
  </si>
  <si>
    <t>Redeem5</t>
  </si>
  <si>
    <t>transfer6</t>
  </si>
  <si>
    <t>Redeem7</t>
  </si>
  <si>
    <t>Redeem8</t>
  </si>
  <si>
    <t>Redeem9</t>
  </si>
  <si>
    <t>Redeem10</t>
  </si>
  <si>
    <t>Redeem11</t>
  </si>
  <si>
    <t>UnitedSpirit</t>
  </si>
  <si>
    <t>Qty</t>
  </si>
  <si>
    <t>Hikal</t>
  </si>
  <si>
    <t>SuvenPharma</t>
  </si>
  <si>
    <t>icici arbit</t>
  </si>
  <si>
    <t>ipo</t>
  </si>
  <si>
    <t>citi</t>
  </si>
  <si>
    <t>Unnati</t>
  </si>
  <si>
    <t>composite</t>
  </si>
  <si>
    <t>sbi</t>
  </si>
  <si>
    <t>Silver</t>
  </si>
  <si>
    <t>Jubiliant Ingrevia</t>
  </si>
  <si>
    <t>accesso</t>
  </si>
  <si>
    <t>praveen</t>
  </si>
  <si>
    <t>limbe</t>
  </si>
  <si>
    <t>hoova</t>
  </si>
  <si>
    <t>retirals</t>
  </si>
  <si>
    <t>petrol</t>
  </si>
  <si>
    <t>tobacco</t>
  </si>
  <si>
    <t>napthaleen</t>
  </si>
  <si>
    <t>comp</t>
  </si>
  <si>
    <t>pension</t>
  </si>
  <si>
    <t>tax</t>
  </si>
  <si>
    <t>Jubiliant Pharmova</t>
  </si>
  <si>
    <t>Strides Pharma</t>
  </si>
  <si>
    <t>SuvenLS</t>
  </si>
  <si>
    <t>Praj Industries</t>
  </si>
  <si>
    <t>Strides pharma</t>
  </si>
  <si>
    <t>BRITANNIA INDU</t>
  </si>
  <si>
    <t>Reliance industries</t>
  </si>
  <si>
    <t>junePetro</t>
  </si>
  <si>
    <t>Asian Paints</t>
  </si>
  <si>
    <t>NEULAND LABORA</t>
  </si>
  <si>
    <t>Pidilite</t>
  </si>
  <si>
    <t>Praj Industrie</t>
  </si>
  <si>
    <t>SUVEN PHARMA</t>
  </si>
  <si>
    <t>STRIDES PHARMA</t>
  </si>
  <si>
    <t>HIKAL</t>
  </si>
  <si>
    <t>JUBILANT PHARM</t>
  </si>
  <si>
    <t>JUBILANT INGRE</t>
  </si>
  <si>
    <t>Indoco Remedie</t>
  </si>
  <si>
    <t>SEQUENT SCIENT</t>
  </si>
  <si>
    <t>CAPLINPOINT LA</t>
  </si>
  <si>
    <t>FD001579</t>
  </si>
  <si>
    <t>FD001577</t>
  </si>
  <si>
    <t>FD001576</t>
  </si>
  <si>
    <t>FD001578</t>
  </si>
  <si>
    <t>retiral</t>
  </si>
  <si>
    <t>FEP</t>
  </si>
  <si>
    <t>Previous</t>
  </si>
  <si>
    <t>Current</t>
  </si>
  <si>
    <t>USL</t>
  </si>
  <si>
    <t>4*80</t>
  </si>
  <si>
    <t>2.5*80</t>
  </si>
  <si>
    <t>6.4*80</t>
  </si>
  <si>
    <t>yearly</t>
  </si>
  <si>
    <t>monthly</t>
  </si>
  <si>
    <t>comp.pf</t>
  </si>
  <si>
    <t>travel</t>
  </si>
  <si>
    <t>Mantralaya</t>
  </si>
  <si>
    <t>ganagapura</t>
  </si>
  <si>
    <t>kammasandra</t>
  </si>
  <si>
    <t>DevarayanaDurga</t>
  </si>
  <si>
    <t>savanaDurga</t>
  </si>
  <si>
    <t>seebi narasimhaswamy</t>
  </si>
  <si>
    <t>Nanjangud</t>
  </si>
  <si>
    <t>Hemmaragala</t>
  </si>
  <si>
    <t>Melukote</t>
  </si>
  <si>
    <t>T.Narasipura-Gunja Narasimha</t>
  </si>
  <si>
    <t>HoleNarasipura</t>
  </si>
  <si>
    <t>tirupati</t>
  </si>
  <si>
    <t>Uttaradi Mutt(bangalore)</t>
  </si>
  <si>
    <t>dharmasthala</t>
  </si>
  <si>
    <t>mrigavadhe</t>
  </si>
  <si>
    <t>Gokarna</t>
  </si>
  <si>
    <t>Murdeshwar</t>
  </si>
  <si>
    <t>Kukke - samputa Narasimha</t>
  </si>
  <si>
    <t>Sringeri</t>
  </si>
  <si>
    <t>4.81% of basic</t>
  </si>
  <si>
    <t>child</t>
  </si>
  <si>
    <t>AdBonus</t>
  </si>
  <si>
    <t>Food</t>
  </si>
  <si>
    <t>personal</t>
  </si>
  <si>
    <t>receipt</t>
  </si>
  <si>
    <t>no</t>
  </si>
  <si>
    <t>coupon</t>
  </si>
  <si>
    <t>bb&amp;T</t>
  </si>
  <si>
    <t>convey</t>
  </si>
  <si>
    <r>
      <rPr>
        <b/>
        <sz val="11"/>
        <color rgb="FFFF000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is 40% of CTC</t>
    </r>
  </si>
  <si>
    <t>Pandarapura</t>
  </si>
  <si>
    <t>Udupi</t>
  </si>
  <si>
    <t>CTC</t>
  </si>
  <si>
    <t>Expense</t>
  </si>
  <si>
    <t>Motherson sumi wiring india</t>
  </si>
  <si>
    <t>itax</t>
  </si>
  <si>
    <t>PF+VPF</t>
  </si>
  <si>
    <t>PF int</t>
  </si>
  <si>
    <t>ppf int</t>
  </si>
  <si>
    <t>Savings</t>
  </si>
  <si>
    <t>Dabur</t>
  </si>
  <si>
    <t>REC</t>
  </si>
  <si>
    <t>PFC</t>
  </si>
  <si>
    <t>GAIL</t>
  </si>
  <si>
    <t>PowerGrid</t>
  </si>
  <si>
    <t>FD001650</t>
  </si>
  <si>
    <t>FD001651</t>
  </si>
  <si>
    <t>FD001652</t>
  </si>
  <si>
    <t xml:space="preserve">javagal </t>
  </si>
  <si>
    <t>Nuggehalli Lakshmi Narasimha Temple</t>
  </si>
  <si>
    <t>FD001654</t>
  </si>
  <si>
    <t>akkihebbalu lakshmi narasimha</t>
  </si>
  <si>
    <t>jalari lakshmi narasimha - chikkaballapur</t>
  </si>
  <si>
    <t>marehalli malavalli SLN temple</t>
  </si>
  <si>
    <t>trikoota</t>
  </si>
  <si>
    <t>telephone</t>
  </si>
  <si>
    <t>per</t>
  </si>
  <si>
    <t>fixed</t>
  </si>
  <si>
    <t>ABP</t>
  </si>
  <si>
    <t>Sripadaraja mutt Mulbagilu</t>
  </si>
  <si>
    <t xml:space="preserve">Hatyalu Narasimha </t>
  </si>
  <si>
    <t>Nagamangala yoga narasimha</t>
  </si>
  <si>
    <t>Kote Betta Kambada Narasimha swamy Nagamangal</t>
  </si>
  <si>
    <t>https://best1.bseindia.com/BSE/Login/index.jsp</t>
  </si>
  <si>
    <t>Castrol</t>
  </si>
  <si>
    <t>FD001660</t>
  </si>
  <si>
    <t>FD001661</t>
  </si>
  <si>
    <t>FD001662</t>
  </si>
  <si>
    <t>compPF</t>
  </si>
  <si>
    <t>Including Mar2022 contribution</t>
  </si>
  <si>
    <t>takehome</t>
  </si>
  <si>
    <t>comp.PF</t>
  </si>
  <si>
    <t>tele</t>
  </si>
  <si>
    <t>comPF</t>
  </si>
  <si>
    <t>Gratuity</t>
  </si>
  <si>
    <t>Micr0service00#</t>
  </si>
  <si>
    <t>Ghati subramanya</t>
  </si>
  <si>
    <t>mekedaatu/sangama</t>
  </si>
  <si>
    <t>aprameya</t>
  </si>
  <si>
    <t>nanjungud</t>
  </si>
  <si>
    <t>kaidala</t>
  </si>
  <si>
    <t>shivagange</t>
  </si>
  <si>
    <t>Tata consumer</t>
  </si>
  <si>
    <t>Tata consumer Product</t>
  </si>
  <si>
    <t>Kaigal falls</t>
  </si>
  <si>
    <t>Boranakanive Reservoir</t>
  </si>
  <si>
    <t>Abburu</t>
  </si>
  <si>
    <t>20*18rs</t>
  </si>
  <si>
    <t>5rs*80</t>
  </si>
  <si>
    <t>Petronet</t>
  </si>
  <si>
    <t>nelligere</t>
  </si>
  <si>
    <t>Halthi</t>
  </si>
  <si>
    <t>kotebetta</t>
  </si>
  <si>
    <t>yoga narasimha temple nagamangala</t>
  </si>
  <si>
    <t>Kengal Anjaneya - narsimhaswamy</t>
  </si>
  <si>
    <t>436*1.2rs</t>
  </si>
  <si>
    <t>mothersonsumi</t>
  </si>
  <si>
    <t>Mothewire</t>
  </si>
  <si>
    <t>MIDHANI</t>
  </si>
  <si>
    <t>Honey00#</t>
  </si>
  <si>
    <t>Honey11#</t>
  </si>
  <si>
    <t>20*2rs</t>
  </si>
  <si>
    <t>???</t>
  </si>
  <si>
    <t>CESC</t>
  </si>
  <si>
    <t>PetronetLNG</t>
  </si>
  <si>
    <t>40*58rs</t>
  </si>
  <si>
    <t>80*5rs</t>
  </si>
  <si>
    <t>40*5rs</t>
  </si>
  <si>
    <t>40*9rs</t>
  </si>
  <si>
    <t>66*22.75rs</t>
  </si>
  <si>
    <t>CoalIndia</t>
  </si>
  <si>
    <t>Canara</t>
  </si>
  <si>
    <t>Citizen</t>
  </si>
  <si>
    <t>Jan</t>
  </si>
  <si>
    <t>feb</t>
  </si>
  <si>
    <t>mar</t>
  </si>
  <si>
    <t>May</t>
  </si>
  <si>
    <t>June</t>
  </si>
  <si>
    <t>july</t>
  </si>
  <si>
    <t>aug</t>
  </si>
  <si>
    <t>Oct</t>
  </si>
  <si>
    <t>Nov</t>
  </si>
  <si>
    <t>Dec</t>
  </si>
  <si>
    <t>Dress</t>
  </si>
  <si>
    <t>books</t>
  </si>
  <si>
    <t>Fees</t>
  </si>
  <si>
    <t>carInsur</t>
  </si>
  <si>
    <t>propTax</t>
  </si>
  <si>
    <t>Ductile Iron Pipes Industry</t>
  </si>
  <si>
    <t>https://twitter.com/FinMedium/status/1536372936902201344</t>
  </si>
  <si>
    <t>Electric Resistance Welded</t>
  </si>
  <si>
    <t>https://twitter.com/FinMedium/status/1535644455327236102</t>
  </si>
  <si>
    <t>Battery</t>
  </si>
  <si>
    <t>https://twitter.com/FinMedium/status/1533475302411685888</t>
  </si>
  <si>
    <t>pharma</t>
  </si>
  <si>
    <t>branded generic</t>
  </si>
  <si>
    <t>API, CDMO</t>
  </si>
  <si>
    <t>Hospital</t>
  </si>
  <si>
    <t>Diagnostic</t>
  </si>
  <si>
    <t>powerGrid</t>
  </si>
  <si>
    <t>OilIndia</t>
  </si>
  <si>
    <t>Tata Investment Corp</t>
  </si>
  <si>
    <t>remaining</t>
  </si>
  <si>
    <t>Parag</t>
  </si>
  <si>
    <t>HINDUSTANUNILE</t>
  </si>
  <si>
    <t>53*3rs</t>
  </si>
  <si>
    <t>1*19rs</t>
  </si>
  <si>
    <t>2*22rs</t>
  </si>
  <si>
    <t>30*16rs</t>
  </si>
  <si>
    <t>TICL</t>
  </si>
  <si>
    <t>4*55rs</t>
  </si>
  <si>
    <t>4*6.05rs</t>
  </si>
  <si>
    <t>TCPL</t>
  </si>
  <si>
    <t>4*15.5rs</t>
  </si>
  <si>
    <t>10*1.7rs</t>
  </si>
  <si>
    <t>40*12rs</t>
  </si>
  <si>
    <t>40*7.5rs</t>
  </si>
  <si>
    <t>40*5.85rs</t>
  </si>
  <si>
    <t>30*7.25rs</t>
  </si>
  <si>
    <t>20*16.5rs</t>
  </si>
  <si>
    <t>20*1.15rs</t>
  </si>
  <si>
    <t>20*18.75rs</t>
  </si>
  <si>
    <t>30*1.75rs</t>
  </si>
  <si>
    <t>30*5rs</t>
  </si>
  <si>
    <t>30*1.85rs</t>
  </si>
  <si>
    <t>30*5.5rs</t>
  </si>
  <si>
    <t>30*1rs</t>
  </si>
  <si>
    <t>4*14.5rs</t>
  </si>
  <si>
    <t>4*3.65rs</t>
  </si>
  <si>
    <t>40*16rs</t>
  </si>
  <si>
    <t>40*16.5rs</t>
  </si>
  <si>
    <t>40*11rs</t>
  </si>
  <si>
    <t>40*8rs</t>
  </si>
  <si>
    <t>30*7rs</t>
  </si>
  <si>
    <t>30*14rs</t>
  </si>
  <si>
    <t>10*1rs</t>
  </si>
  <si>
    <t>10*12rs</t>
  </si>
  <si>
    <t>30*0.75rs</t>
  </si>
  <si>
    <t>10*1.35rs</t>
  </si>
  <si>
    <t>30*5.25rs</t>
  </si>
  <si>
    <t>40*6.25rs</t>
  </si>
  <si>
    <t>40*1.44</t>
  </si>
  <si>
    <t>20*2.7rs</t>
  </si>
  <si>
    <t>20*7.65rs</t>
  </si>
  <si>
    <t>40*1.77rs</t>
  </si>
  <si>
    <t>10*2rs</t>
  </si>
  <si>
    <t>15*5.75rs</t>
  </si>
  <si>
    <t>20*10rs</t>
  </si>
  <si>
    <t>20*6rs</t>
  </si>
  <si>
    <t>20*16rs</t>
  </si>
  <si>
    <t>20*4rs</t>
  </si>
  <si>
    <t>20*3rs</t>
  </si>
  <si>
    <t>20*1rs</t>
  </si>
  <si>
    <t>20*2.5rs</t>
  </si>
  <si>
    <t>30*15rs</t>
  </si>
  <si>
    <t>30*3rs</t>
  </si>
  <si>
    <t>30*4rs</t>
  </si>
  <si>
    <t>30*8rs</t>
  </si>
  <si>
    <t>30*9.5rs</t>
  </si>
  <si>
    <t>250*5.25rs</t>
  </si>
  <si>
    <t>140*5.75rs</t>
  </si>
  <si>
    <t>11*1rs</t>
  </si>
  <si>
    <t>11*2rs</t>
  </si>
  <si>
    <t>10*5rs</t>
  </si>
  <si>
    <t>11*1.5rs</t>
  </si>
  <si>
    <t>10*2.5rs</t>
  </si>
  <si>
    <t>20*5rs</t>
  </si>
  <si>
    <t>20*1.5rs</t>
  </si>
  <si>
    <t>20*7.5rs</t>
  </si>
  <si>
    <t>20*4.25rs</t>
  </si>
  <si>
    <t>20*6.75rs</t>
  </si>
  <si>
    <t>12*6.4rs</t>
  </si>
  <si>
    <t>22*1.1rs</t>
  </si>
  <si>
    <t>33*14.5</t>
  </si>
  <si>
    <t>66*9.4rs</t>
  </si>
  <si>
    <t>66*6.5rs</t>
  </si>
  <si>
    <t>33*2.5rs</t>
  </si>
  <si>
    <t>66*9.75rs</t>
  </si>
  <si>
    <t>15*1rs</t>
  </si>
  <si>
    <t>15*8.5rs</t>
  </si>
  <si>
    <t>15*1.75rs</t>
  </si>
  <si>
    <t>15*9rs</t>
  </si>
  <si>
    <t>15*1.6rs</t>
  </si>
  <si>
    <t>15*3.5rs</t>
  </si>
  <si>
    <t>15*1.5rs</t>
  </si>
  <si>
    <t>10*12.5</t>
  </si>
  <si>
    <t>30*2.5rs</t>
  </si>
  <si>
    <t>30*2.75rs</t>
  </si>
  <si>
    <t>20*2.25rs</t>
  </si>
  <si>
    <t>10*4.5rs</t>
  </si>
  <si>
    <t>2*7rs</t>
  </si>
  <si>
    <t>180*2.5rs</t>
  </si>
  <si>
    <t>180*0.35rs</t>
  </si>
  <si>
    <t>10*1.5rs</t>
  </si>
  <si>
    <t>10*1.63rs</t>
  </si>
  <si>
    <t>2*6rs</t>
  </si>
  <si>
    <t>2*15rs</t>
  </si>
  <si>
    <t>10*7rs</t>
  </si>
  <si>
    <t>40*3.5rs</t>
  </si>
  <si>
    <t>10*8.5rs</t>
  </si>
  <si>
    <t>Seemless pipe</t>
  </si>
  <si>
    <t>FD001689</t>
  </si>
  <si>
    <t>Dividend</t>
  </si>
  <si>
    <t>19*56.5rs</t>
  </si>
  <si>
    <t>263*6.25rs</t>
  </si>
  <si>
    <t>FD001709</t>
  </si>
  <si>
    <t>SYNGENEINTERNA</t>
  </si>
  <si>
    <t>vidurashwatha, Lepakshi</t>
  </si>
  <si>
    <t>Shivanasamudra, Madhyaranga</t>
  </si>
  <si>
    <t>BR hills, MM Hills</t>
  </si>
  <si>
    <t>Haranahalli</t>
  </si>
  <si>
    <t>belavadi</t>
  </si>
  <si>
    <t>arakere</t>
  </si>
  <si>
    <t>Nagamangala soumyaKeshava</t>
  </si>
  <si>
    <t>2*8rs</t>
  </si>
  <si>
    <t>BIOCON</t>
  </si>
  <si>
    <t>10*0.5rs</t>
  </si>
  <si>
    <t>britannia</t>
  </si>
  <si>
    <t>BBTC/BombayBurmah</t>
  </si>
  <si>
    <t>SRF</t>
  </si>
  <si>
    <t>bharat forge</t>
  </si>
  <si>
    <t>UPL</t>
  </si>
  <si>
    <t>holding comp</t>
  </si>
  <si>
    <t>kama holding</t>
  </si>
  <si>
    <t>kalyani investment</t>
  </si>
  <si>
    <t>uniforce enterprise</t>
  </si>
  <si>
    <t>juari global</t>
  </si>
  <si>
    <t>chambal fert</t>
  </si>
  <si>
    <t>Pilani investment</t>
  </si>
  <si>
    <t>pure holding comp</t>
  </si>
  <si>
    <t>STEL holding</t>
  </si>
  <si>
    <t>JK cement</t>
  </si>
  <si>
    <t>florence invest</t>
  </si>
  <si>
    <t>vardhaman holding</t>
  </si>
  <si>
    <t>vardhaman textiles</t>
  </si>
  <si>
    <t>JSW steel</t>
  </si>
  <si>
    <t>nalwasons.com</t>
  </si>
  <si>
    <t>century textiles, grasim</t>
  </si>
  <si>
    <t>gorur narasimhaswamy temple</t>
  </si>
  <si>
    <t>siddarabetta</t>
  </si>
  <si>
    <t>FD001727</t>
  </si>
  <si>
    <t>Sell</t>
  </si>
  <si>
    <t>10*10rs</t>
  </si>
  <si>
    <t>karighatta</t>
  </si>
  <si>
    <t>nimishamba</t>
  </si>
  <si>
    <t>namada chilume</t>
  </si>
  <si>
    <t>devarayandurga</t>
  </si>
  <si>
    <t>namadaChilume</t>
  </si>
  <si>
    <t>seebi</t>
  </si>
  <si>
    <t>goravanhalli</t>
  </si>
  <si>
    <t>825*2.4rs</t>
  </si>
  <si>
    <t>81*14rs</t>
  </si>
  <si>
    <t>MothersonWiring</t>
  </si>
  <si>
    <t>40*3.25rs</t>
  </si>
  <si>
    <t>106*3rs</t>
  </si>
  <si>
    <t>114*1rs</t>
  </si>
  <si>
    <t>22*2.25rs</t>
  </si>
  <si>
    <t>10*8rs</t>
  </si>
  <si>
    <t>11*5rs</t>
  </si>
  <si>
    <t>Power Grid</t>
  </si>
  <si>
    <t>Srirangapatna-ranganthaswamy</t>
  </si>
  <si>
    <t>Horanadu</t>
  </si>
  <si>
    <t>kolluru</t>
  </si>
  <si>
    <t>mooguruTripuraSundari</t>
  </si>
  <si>
    <t>GunjaNarasimha</t>
  </si>
  <si>
    <t>agastheshwara</t>
  </si>
  <si>
    <t>gargeshwari</t>
  </si>
  <si>
    <t>Kambaraya Hill</t>
  </si>
  <si>
    <t>lic</t>
  </si>
  <si>
    <t>POWER FINANCE</t>
  </si>
  <si>
    <t>25*4.8rs</t>
  </si>
  <si>
    <t>Bichchale</t>
  </si>
  <si>
    <t>Sugganahalli</t>
  </si>
  <si>
    <t>30*2.25rs</t>
  </si>
  <si>
    <t>Petronet LNG</t>
  </si>
  <si>
    <t>Travelling Trekker</t>
  </si>
  <si>
    <t>Not in Office</t>
  </si>
  <si>
    <t>I AM NOT FREE</t>
  </si>
  <si>
    <t>MISHRADHATUNIG</t>
  </si>
  <si>
    <t>shantigrama</t>
  </si>
  <si>
    <t>Jalari narasimhaswamy</t>
  </si>
  <si>
    <t>rangasthala</t>
  </si>
  <si>
    <t>avalabetta</t>
  </si>
  <si>
    <t>gopinatha betta - narasimhaswamy temple(nandi hills)</t>
  </si>
  <si>
    <t>devanahalli fort</t>
  </si>
  <si>
    <t>ceridian</t>
  </si>
  <si>
    <t>Yoga Madhava Temple, Settikere, 9HJ5+GGG, Settikere, Karnataka 572226</t>
  </si>
  <si>
    <t>Sampige Srinivasa Temple</t>
  </si>
  <si>
    <t>Lakshmi Janardhana Temple, Kadaba Amanikere</t>
  </si>
  <si>
    <t>jiraaf</t>
  </si>
  <si>
    <t>kadu malleshwara</t>
  </si>
  <si>
    <t>bull temple</t>
  </si>
  <si>
    <t>gavi gangadhareshwara</t>
  </si>
  <si>
    <t>someshwara</t>
  </si>
  <si>
    <t>bannerghatta</t>
  </si>
  <si>
    <t>gundanjaneya</t>
  </si>
  <si>
    <t>1033San#</t>
  </si>
  <si>
    <t>primevideo</t>
  </si>
  <si>
    <t>Disney hotstar</t>
  </si>
  <si>
    <t>sony liv</t>
  </si>
  <si>
    <t>zee5</t>
  </si>
  <si>
    <t>voot select</t>
  </si>
  <si>
    <t>voot kids</t>
  </si>
  <si>
    <t>sun nxt</t>
  </si>
  <si>
    <t>holchol</t>
  </si>
  <si>
    <t>discovery</t>
  </si>
  <si>
    <t>Universal+</t>
  </si>
  <si>
    <t>Altbalaji</t>
  </si>
  <si>
    <t>ErosNow</t>
  </si>
  <si>
    <t>lionsgate play</t>
  </si>
  <si>
    <t>shemaroo me</t>
  </si>
  <si>
    <t>jio cinema</t>
  </si>
  <si>
    <t>jio savaan</t>
  </si>
  <si>
    <t>talakaadu</t>
  </si>
  <si>
    <t>T.narasipura</t>
  </si>
  <si>
    <t>bangalore</t>
  </si>
  <si>
    <t>11-13Nov2022</t>
  </si>
  <si>
    <t>0108491116</t>
  </si>
  <si>
    <t>PerPay</t>
  </si>
  <si>
    <t>PA</t>
  </si>
  <si>
    <t>PM</t>
  </si>
  <si>
    <t>sep</t>
  </si>
  <si>
    <t>LQJG8068</t>
  </si>
  <si>
    <t>aprameya,Srirangapatna, keretonnur, Melukote</t>
  </si>
  <si>
    <t>Adichunchungiri, hemmaragala, hedtale, kalale, nanjungud</t>
  </si>
  <si>
    <t>HRA1</t>
  </si>
  <si>
    <t>HRA2</t>
  </si>
  <si>
    <t>Apr</t>
  </si>
  <si>
    <t>june</t>
  </si>
  <si>
    <t>dec</t>
  </si>
  <si>
    <t>jan</t>
  </si>
  <si>
    <t>Hassan-Alur-singapura</t>
  </si>
  <si>
    <t>https://l.facebook.com/l.php?u=https%3A%2F%2Fmaps.app.goo.gl%2Fh2udoBdjUYVqAHmT7%3Ffbclid%3DIwAR3cM5dNWo75-4I4N3Whze-cMk0KVDiHkhmF4dlk-mPPyNSIGdngbtUniMU&amp;h=AT27tDNctSA3F65W6tIp4ft5u-mO3NQhreQ53z8wDkaK9jjBoMmrF6JRMSTvGlwshA2gfg1wMPQ09X0wGYVFOI5iPB-65F3RQGUc8E8yWTD0XgjUG7tb1Nj0osuLFLNf3w&amp;__tn__=R]-R&amp;c[0]=AT1EjPV7Y_DcEgfi7Up7eatLz9g5Hq0Bzwn5tBQVkEiHtxkXsz1T_Rpz5Wc3TvSz5bpO4OIeMfp6anImqBnzZYXtmEfC9MnRZt6mrGm3bN6ZpsdeXDwdjJfFE7tY7SsuJNGZ7PYCj9SGKl6SP6-HjMqDE_qvw6I4XeYIEKpmrsr47xTHL2RY2RUdB_e8xfO7ny_7n-A26_UixetY_nIdVm67AMU</t>
  </si>
  <si>
    <t>Sree Narayana(padma,Gada,Chakra,Shanka) ,Hampapura,K.R.Nagara tq,Mysore Dist</t>
  </si>
  <si>
    <t>Sri Bhuvaneshwara Temple and Bala Tripura Sundari Sanctum 
Nagamangala Taluk</t>
  </si>
  <si>
    <t>Trading</t>
  </si>
  <si>
    <t>Kethanahalli Falls</t>
  </si>
  <si>
    <t>15*5rs</t>
  </si>
  <si>
    <t>marc</t>
  </si>
  <si>
    <t>carinsu</t>
  </si>
  <si>
    <t>sahana</t>
  </si>
  <si>
    <t>propertytax</t>
  </si>
  <si>
    <t>Aster DM</t>
  </si>
  <si>
    <t>HealthCare</t>
  </si>
  <si>
    <t>RPG life</t>
  </si>
  <si>
    <t>Doddadalavatta</t>
  </si>
  <si>
    <t>NIRANJANA401</t>
  </si>
  <si>
    <t>Wage Month</t>
  </si>
  <si>
    <t>nuggehalli, shantigrama, saligrama, mavanuru, chunchunkatte</t>
  </si>
  <si>
    <t>saligrama</t>
  </si>
  <si>
    <t>devarayanabetta</t>
  </si>
  <si>
    <t>melukote</t>
  </si>
  <si>
    <t>savanadurga</t>
  </si>
  <si>
    <t>holenarasipura</t>
  </si>
  <si>
    <t>Mulabagilu</t>
  </si>
  <si>
    <t>uttaradiMutt</t>
  </si>
  <si>
    <t>samputaNarasimha</t>
  </si>
  <si>
    <t>arakalgudu</t>
  </si>
  <si>
    <t>goruu</t>
  </si>
  <si>
    <t>javagal</t>
  </si>
  <si>
    <t>nuggehalli</t>
  </si>
  <si>
    <t>haranahalli</t>
  </si>
  <si>
    <t>attavara mudigere</t>
  </si>
  <si>
    <t>belavadi
13.282268174176117, 75.99566077250503</t>
  </si>
  <si>
    <t>Sri Lakshmi Janardhana Swamy Temple
12.944078685989249, 75.9455546306843</t>
  </si>
  <si>
    <t>Heragu Kertinarayana Temple
13.057129708495383, 76.2665603724444</t>
  </si>
  <si>
    <t>Shantigrama</t>
  </si>
  <si>
    <t>Saligrama-mysore</t>
  </si>
  <si>
    <t>Vighnasanthe, Hullekere, Mudigere</t>
  </si>
  <si>
    <t>kondajji, doddagaddavalli, bylahalli</t>
  </si>
  <si>
    <t>Ghati</t>
  </si>
  <si>
    <t>DD hills</t>
  </si>
  <si>
    <t>himvad gopalswamy</t>
  </si>
  <si>
    <t>kalale</t>
  </si>
  <si>
    <t>hemmaragala</t>
  </si>
  <si>
    <t>hedtale</t>
  </si>
  <si>
    <t>kanva</t>
  </si>
  <si>
    <t>abbur</t>
  </si>
  <si>
    <t>holeanjaneya</t>
  </si>
  <si>
    <t>vaidyanatheshwara</t>
  </si>
  <si>
    <t>ugraNarasimha</t>
  </si>
  <si>
    <t>Maddur</t>
  </si>
  <si>
    <t>netra narayana</t>
  </si>
  <si>
    <t>srirangapatna</t>
  </si>
  <si>
    <t>kere tonnuru</t>
  </si>
  <si>
    <t>nagamangala</t>
  </si>
  <si>
    <t>keshava temple</t>
  </si>
  <si>
    <t>narasimha temple</t>
  </si>
  <si>
    <t>chunchunkatte</t>
  </si>
  <si>
    <t>mulabagilu</t>
  </si>
  <si>
    <t xml:space="preserve">mavanur </t>
  </si>
  <si>
    <t>channapatna</t>
  </si>
  <si>
    <t>markonahalli Dam</t>
  </si>
  <si>
    <t>Mudukuthore</t>
  </si>
  <si>
    <t>somanathapura</t>
  </si>
  <si>
    <t>Bannur</t>
  </si>
  <si>
    <t>Magadi Ranganatha</t>
  </si>
  <si>
    <t>Bhindiganavile</t>
  </si>
  <si>
    <t>KRS venugopala</t>
  </si>
  <si>
    <t>Nuggehalli</t>
  </si>
  <si>
    <t>kaverikatte</t>
  </si>
  <si>
    <t>Madyaranga</t>
  </si>
  <si>
    <t>Prasanna meenakshi someshwara</t>
  </si>
  <si>
    <t>Kote varadaraja</t>
  </si>
  <si>
    <t>Gunja Narasimha</t>
  </si>
  <si>
    <t>RPG</t>
  </si>
  <si>
    <t xml:space="preserve">Vighnasanthe, Nonavinakere, Aralaguppe, </t>
  </si>
  <si>
    <t>nonavinakere gopalakrishna</t>
  </si>
  <si>
    <r>
      <rPr>
        <sz val="11"/>
        <color rgb="FFFF0000"/>
        <rFont val="Calibri"/>
        <family val="2"/>
        <scheme val="minor"/>
      </rPr>
      <t>kudur</t>
    </r>
    <r>
      <rPr>
        <sz val="11"/>
        <color theme="1"/>
        <rFont val="Calibri"/>
        <family val="2"/>
        <scheme val="minor"/>
      </rPr>
      <t>,sugganahalli,hebbur,hatyalu,aralguppe,nonavinakere,</t>
    </r>
    <r>
      <rPr>
        <sz val="11"/>
        <color rgb="FFFF0000"/>
        <rFont val="Calibri"/>
        <family val="2"/>
        <scheme val="minor"/>
      </rPr>
      <t>vighnasanthe</t>
    </r>
  </si>
  <si>
    <t>kotebetta, nagamangala, karibetta, nimishamba</t>
  </si>
  <si>
    <t>Balance</t>
  </si>
  <si>
    <t>BuyPrice</t>
  </si>
  <si>
    <t>saleVal</t>
  </si>
  <si>
    <t>DOsale</t>
  </si>
  <si>
    <t>DObuy</t>
  </si>
  <si>
    <t>GLAND</t>
  </si>
  <si>
    <t>HIND PETRO</t>
  </si>
  <si>
    <t>zray</t>
  </si>
  <si>
    <t>bharat</t>
  </si>
  <si>
    <t>cubbonpet</t>
  </si>
  <si>
    <t>47-117-73/3</t>
  </si>
  <si>
    <t>tvsVictor</t>
  </si>
  <si>
    <t>HeritageFoods</t>
  </si>
  <si>
    <t>SAMVARDHANA</t>
  </si>
  <si>
    <t>OTP</t>
  </si>
  <si>
    <t>SahanaLKamble@gmail.com</t>
  </si>
  <si>
    <t>Ninja06#</t>
  </si>
  <si>
    <t>Timex</t>
  </si>
  <si>
    <t>CR2016</t>
  </si>
  <si>
    <t>Int</t>
  </si>
  <si>
    <t>Basic</t>
  </si>
  <si>
    <t>variable</t>
  </si>
  <si>
    <t>Healthcare global</t>
  </si>
  <si>
    <t>Heritage foods</t>
  </si>
  <si>
    <t>jio financial</t>
  </si>
  <si>
    <t>L0litha06#</t>
  </si>
  <si>
    <t>21rs</t>
  </si>
  <si>
    <t>4rs</t>
  </si>
  <si>
    <t>6rs</t>
  </si>
  <si>
    <t>sold</t>
  </si>
  <si>
    <t>kothari Products</t>
  </si>
  <si>
    <t xml:space="preserve">sold on </t>
  </si>
  <si>
    <t>FD001917</t>
  </si>
  <si>
    <t>AdityaBirla</t>
  </si>
  <si>
    <t>ICICI</t>
  </si>
  <si>
    <t>ParagParikh</t>
  </si>
  <si>
    <t>Quantum</t>
  </si>
  <si>
    <t>Motilal</t>
  </si>
  <si>
    <t>Edelweiss</t>
  </si>
  <si>
    <t>bmrcl</t>
  </si>
  <si>
    <t>Micr0service77#</t>
  </si>
  <si>
    <t>Edelweiss liquid</t>
  </si>
  <si>
    <t>Motilal Oswal liquid</t>
  </si>
  <si>
    <t>canara robecco</t>
  </si>
  <si>
    <t>127.5/15</t>
  </si>
  <si>
    <t>LKG</t>
  </si>
  <si>
    <t>int</t>
  </si>
  <si>
    <t>BookValue</t>
  </si>
  <si>
    <t>PA8Uw1lN</t>
  </si>
  <si>
    <t>AsterDM</t>
  </si>
  <si>
    <t>outlook</t>
  </si>
  <si>
    <t>niranjana40@hotmail.com</t>
  </si>
  <si>
    <t>niranjana970</t>
  </si>
  <si>
    <t>1*8.45rs</t>
  </si>
  <si>
    <t>carKEy</t>
  </si>
  <si>
    <t>CR1616</t>
  </si>
  <si>
    <t>20*118rs</t>
  </si>
  <si>
    <t>rangapura, bellary</t>
  </si>
  <si>
    <t>Sri Yoganarasimhaswamy, Sri Ramalakshmijanardhana Temple, Kadaba, Gubbi Taluka, Tumkur District.</t>
  </si>
  <si>
    <t>kanirak8s@gmail.com</t>
  </si>
  <si>
    <t>Mysore05#</t>
  </si>
  <si>
    <t>8-86-4(lakshman)</t>
  </si>
  <si>
    <t>Allied Blenders</t>
  </si>
  <si>
    <t>B@ngalore10</t>
  </si>
  <si>
    <t>GF</t>
  </si>
  <si>
    <t>FF</t>
  </si>
  <si>
    <t>shop</t>
  </si>
  <si>
    <t>niranjana40/961199961</t>
  </si>
  <si>
    <t>motor</t>
  </si>
  <si>
    <t>C1LG24237</t>
  </si>
  <si>
    <t>EH2410</t>
  </si>
  <si>
    <t>waterbill</t>
  </si>
  <si>
    <t>N-181853070</t>
  </si>
  <si>
    <t>Folio</t>
  </si>
  <si>
    <t>UserName</t>
  </si>
  <si>
    <t>inv Amount</t>
  </si>
  <si>
    <t>cur Value</t>
  </si>
  <si>
    <t>11813982 / 11</t>
  </si>
  <si>
    <t>mpin-1033</t>
  </si>
  <si>
    <t>AMXPK8098D</t>
  </si>
  <si>
    <t>Mpin</t>
  </si>
  <si>
    <t>Axis-sb</t>
  </si>
  <si>
    <t>comBackend</t>
  </si>
  <si>
    <t>27N02</t>
  </si>
  <si>
    <t>kotak</t>
  </si>
  <si>
    <t>axis</t>
  </si>
  <si>
    <t>Nippon</t>
  </si>
  <si>
    <t>EH29596</t>
  </si>
  <si>
    <t>825*3</t>
  </si>
  <si>
    <t>825*5</t>
  </si>
  <si>
    <t>16rs*3</t>
  </si>
  <si>
    <t>1rs*10</t>
  </si>
  <si>
    <t>513*7.5rs</t>
  </si>
  <si>
    <t>oct</t>
  </si>
  <si>
    <t>nov</t>
  </si>
  <si>
    <t>Mar</t>
  </si>
  <si>
    <t>8-44-6(Niranjan)</t>
  </si>
  <si>
    <t>kaveri</t>
  </si>
  <si>
    <t>W-291682080</t>
  </si>
  <si>
    <t>f3u3aoWkWf</t>
  </si>
  <si>
    <t>pgb4IaC7iq</t>
  </si>
  <si>
    <t>11rs*120</t>
  </si>
  <si>
    <t>190*10.5rs</t>
  </si>
  <si>
    <t xml:space="preserve">sriranganatha temple </t>
  </si>
  <si>
    <t>manikarnika</t>
  </si>
  <si>
    <t>moola narasimha</t>
  </si>
  <si>
    <t>Globus</t>
  </si>
  <si>
    <t>126*5rs</t>
  </si>
  <si>
    <t>27*3.25</t>
  </si>
  <si>
    <t>27*2.5</t>
  </si>
  <si>
    <t>Radico</t>
  </si>
  <si>
    <t>Associated</t>
  </si>
  <si>
    <t>Piccadily</t>
  </si>
  <si>
    <t>Susheela</t>
  </si>
  <si>
    <t>radico</t>
  </si>
  <si>
    <t>Maturity</t>
  </si>
  <si>
    <t>pf member</t>
  </si>
  <si>
    <t>RIL (1220)</t>
  </si>
  <si>
    <t>wipro (558)</t>
  </si>
  <si>
    <t>USL (1050)</t>
  </si>
  <si>
    <t>wipro</t>
  </si>
  <si>
    <t>Shri koppara Lakshmi Narasimha devalaya</t>
  </si>
  <si>
    <t>Shurpali (Shurpalaya) Shri Lakshmi Narasimha Temple</t>
  </si>
  <si>
    <t>21*3rs</t>
  </si>
  <si>
    <t>40*6rs</t>
  </si>
  <si>
    <t>Bikaji</t>
  </si>
  <si>
    <t xml:space="preserve">Globus </t>
  </si>
  <si>
    <t>Piccadily Agro</t>
  </si>
  <si>
    <t>Associated  Alcohal</t>
  </si>
  <si>
    <t>latha.anantha@outlook.com</t>
  </si>
  <si>
    <t>SahanaLKamble@outlook.com</t>
  </si>
  <si>
    <t>Saligrama08#</t>
  </si>
  <si>
    <t>18rs*20</t>
  </si>
  <si>
    <t>onesource speciality</t>
  </si>
  <si>
    <t>342*6.5rs</t>
  </si>
  <si>
    <t>24*3.25rs</t>
  </si>
  <si>
    <t>21*7rs</t>
  </si>
  <si>
    <t>27*3.5rs</t>
  </si>
  <si>
    <t>20*0.75rs</t>
  </si>
  <si>
    <t>ITC Hotels</t>
  </si>
  <si>
    <t>4269/25</t>
  </si>
  <si>
    <t>9-30-25/1</t>
  </si>
  <si>
    <t>susheelaabhandari@outlook.com</t>
  </si>
  <si>
    <t>Mom</t>
  </si>
  <si>
    <t>globus</t>
  </si>
  <si>
    <t>recDate</t>
  </si>
  <si>
    <t>payDate</t>
  </si>
  <si>
    <t>AGM</t>
  </si>
  <si>
    <t>AlliedBlenders</t>
  </si>
  <si>
    <t>pgportal</t>
  </si>
  <si>
    <t>05#Bangalore</t>
  </si>
  <si>
    <t>513*7.85</t>
  </si>
  <si>
    <t>NSDL</t>
  </si>
  <si>
    <t>ergonomic mouse/keyboard</t>
  </si>
  <si>
    <t>beard trimmer</t>
  </si>
  <si>
    <t>car dashcam</t>
  </si>
  <si>
    <t>5rs*183</t>
  </si>
  <si>
    <t>AssociatedAlcohal</t>
  </si>
  <si>
    <t>Bangalore77#</t>
  </si>
  <si>
    <t>JioFinancial</t>
  </si>
  <si>
    <t>MF-debt</t>
  </si>
  <si>
    <t>171*8rs</t>
  </si>
  <si>
    <t>MES</t>
  </si>
  <si>
    <t>https://meskkpu.edchemy.com/</t>
  </si>
  <si>
    <t>Mumbai10#</t>
  </si>
  <si>
    <t>Plumbers</t>
  </si>
  <si>
    <t>Ganganna</t>
  </si>
  <si>
    <t>Basavaraj</t>
  </si>
  <si>
    <t>Shivanna</t>
  </si>
  <si>
    <t>Vishnu</t>
  </si>
  <si>
    <t>Electrician</t>
  </si>
  <si>
    <t>Anji</t>
  </si>
  <si>
    <t>Hariharapura</t>
  </si>
  <si>
    <t>IPO</t>
  </si>
  <si>
    <t>Varaprada Balele Shri Lakshmi Narasimha Temple</t>
  </si>
  <si>
    <t>arkalagudu narasimha</t>
  </si>
  <si>
    <t>ghati</t>
  </si>
  <si>
    <t>narasimha temple Malleshwara</t>
  </si>
  <si>
    <t>190*7.5rs</t>
  </si>
  <si>
    <t>Javagal</t>
  </si>
  <si>
    <t>po susheela</t>
  </si>
  <si>
    <t>3061sAN#</t>
  </si>
  <si>
    <t>ITR</t>
  </si>
  <si>
    <t>Singapura05#</t>
  </si>
  <si>
    <t>CBYPL1591A</t>
  </si>
  <si>
    <t>latha</t>
  </si>
  <si>
    <t>CUGPS0461M</t>
  </si>
  <si>
    <t>pf int</t>
  </si>
  <si>
    <t>Pay Elements</t>
  </si>
  <si>
    <t> Actuals</t>
  </si>
  <si>
    <t>  Projected</t>
  </si>
  <si>
    <t> Full Year </t>
  </si>
  <si>
    <t>  </t>
  </si>
  <si>
    <t> Earnings</t>
  </si>
  <si>
    <t>Total Incl Projection</t>
  </si>
  <si>
    <t>Section 10 Exemptions (If applicable)</t>
  </si>
  <si>
    <t>Net of Deduction Taxable</t>
  </si>
  <si>
    <t> Basic</t>
  </si>
  <si>
    <t> House Rent Allowance</t>
  </si>
  <si>
    <t> Children Educn School</t>
  </si>
  <si>
    <t> Advance Bonus Exgratia</t>
  </si>
  <si>
    <t> Conveyance</t>
  </si>
  <si>
    <t> Leave Travel Concession</t>
  </si>
  <si>
    <t> Telephone &amp; Broadband Allowance</t>
  </si>
  <si>
    <t> E Award</t>
  </si>
  <si>
    <t> Personal Pay</t>
  </si>
  <si>
    <t> Total Earnings</t>
  </si>
  <si>
    <t> Deductions</t>
  </si>
  <si>
    <t> Provident Fund</t>
  </si>
  <si>
    <t> Profession Tax</t>
  </si>
  <si>
    <t> Income Tax</t>
  </si>
  <si>
    <t> Total Deductions</t>
  </si>
  <si>
    <t> Net Earnings</t>
  </si>
  <si>
    <t>Income From</t>
  </si>
  <si>
    <t>Income To</t>
  </si>
  <si>
    <t>Rate</t>
  </si>
  <si>
    <t>Tax</t>
  </si>
  <si>
    <t> 0.0% of 400,000</t>
  </si>
  <si>
    <t> 5.0% of 399,999</t>
  </si>
  <si>
    <t> 10.0% of 399,999</t>
  </si>
  <si>
    <t> 15.0% of 399,999</t>
  </si>
  <si>
    <t> 20.0% of 399,999</t>
  </si>
  <si>
    <t> 25.0% of 399,999</t>
  </si>
  <si>
    <t> 30.0% of 586,989</t>
  </si>
  <si>
    <t> Tax Payable on Total Income</t>
  </si>
  <si>
    <t>int frm FD</t>
  </si>
  <si>
    <t>frm Deepak</t>
  </si>
  <si>
    <t>frm Renuka</t>
  </si>
  <si>
    <t>csh deposit</t>
  </si>
  <si>
    <t>onward technology</t>
  </si>
  <si>
    <t>All E Technologies Ltd</t>
  </si>
  <si>
    <t>suru</t>
  </si>
  <si>
    <t>Ninja99#</t>
  </si>
  <si>
    <t>190*10</t>
  </si>
  <si>
    <t>Nestle</t>
  </si>
  <si>
    <t>lathaFD</t>
  </si>
  <si>
    <t> 30.0% of 805,459</t>
  </si>
  <si>
    <t>Latha</t>
  </si>
  <si>
    <t>186*6rs</t>
  </si>
  <si>
    <t>436*0.8</t>
  </si>
  <si>
    <t>173*</t>
  </si>
  <si>
    <t>532*6.5</t>
  </si>
  <si>
    <t>Guru</t>
  </si>
  <si>
    <t>gangapura</t>
  </si>
  <si>
    <t>nava brindavana</t>
  </si>
  <si>
    <t>Mulabagilu sripadaraja</t>
  </si>
  <si>
    <t>jenukal siddeshwara</t>
  </si>
  <si>
    <t>Udupi Krishna</t>
  </si>
  <si>
    <t>sakharayapatna</t>
  </si>
  <si>
    <t>KrishnaYogindraSaraswathi</t>
  </si>
  <si>
    <t>MukunduruSwamy</t>
  </si>
  <si>
    <t>Ananthashrama</t>
  </si>
  <si>
    <t>Siddarudaru</t>
  </si>
  <si>
    <t>825*2</t>
  </si>
  <si>
    <t>126*5.5rs</t>
  </si>
  <si>
    <t>24*3.25</t>
  </si>
  <si>
    <t>27*3.25rs</t>
  </si>
  <si>
    <t>45*0.35rs</t>
  </si>
  <si>
    <t>3061sAN$</t>
  </si>
  <si>
    <t>lataCiti</t>
  </si>
  <si>
    <t>HDFC bank</t>
  </si>
  <si>
    <t>4269/25/1</t>
  </si>
  <si>
    <t>9-30-25</t>
  </si>
  <si>
    <t>31rs*2</t>
  </si>
  <si>
    <t>TyagarajaNagara</t>
  </si>
  <si>
    <t>Ugra NarasimhaMaddur</t>
  </si>
  <si>
    <t>YoP1ce7tUX</t>
  </si>
  <si>
    <t>10*0.6rs</t>
  </si>
  <si>
    <t>11*12rs</t>
  </si>
  <si>
    <t>gavimata, near ramamandir</t>
  </si>
  <si>
    <t>kothnur + purandara + narasimha</t>
  </si>
  <si>
    <t>balanganchi</t>
  </si>
  <si>
    <t>baggavalli</t>
  </si>
  <si>
    <t>mudigere</t>
  </si>
  <si>
    <t>18*5rs</t>
  </si>
  <si>
    <t>6*13rs</t>
  </si>
  <si>
    <t>20*24rs</t>
  </si>
  <si>
    <t>40*3.4rs</t>
  </si>
  <si>
    <t>30*25rs</t>
  </si>
  <si>
    <t>56*6rs</t>
  </si>
  <si>
    <t>126*5.25rs</t>
  </si>
  <si>
    <t>42*0.58rs</t>
  </si>
  <si>
    <t>347*1.25rs</t>
  </si>
  <si>
    <t>3*24rs</t>
  </si>
  <si>
    <t>cc1</t>
  </si>
  <si>
    <t>1*22rs</t>
  </si>
  <si>
    <t>20*9rs</t>
  </si>
  <si>
    <t>2*5.5rs</t>
  </si>
  <si>
    <t>20*6.53rs</t>
  </si>
  <si>
    <t>20*11.5rs</t>
  </si>
  <si>
    <t xml:space="preserve">Shri Gutte Lakshminarasimha Swamy </t>
  </si>
  <si>
    <t>1*10rs</t>
  </si>
  <si>
    <t xml:space="preserve">Bisalahalli </t>
  </si>
  <si>
    <t>chikkaballapur</t>
  </si>
  <si>
    <t>Balareddyhalli</t>
  </si>
  <si>
    <t>kadaripura</t>
  </si>
  <si>
    <t>Gopinatha Betta</t>
  </si>
  <si>
    <t>banavara</t>
  </si>
  <si>
    <t>doddaballapur</t>
  </si>
  <si>
    <t>Attiguppe</t>
  </si>
  <si>
    <t>120*19.25rs</t>
  </si>
  <si>
    <t>27*3.95rs</t>
  </si>
  <si>
    <t>narasimha temple Mirle</t>
  </si>
  <si>
    <t>21*1rs</t>
  </si>
  <si>
    <t>10*4rs</t>
  </si>
  <si>
    <t>153*11rs</t>
  </si>
  <si>
    <t>53*5.4rs</t>
  </si>
  <si>
    <t>71*1rs</t>
  </si>
  <si>
    <t>24*1.25rs</t>
  </si>
  <si>
    <t>145*5rs</t>
  </si>
  <si>
    <t>825*1.25rs</t>
  </si>
  <si>
    <t>42*0.25rs</t>
  </si>
  <si>
    <t>532*8rs</t>
  </si>
  <si>
    <t>342*0.5rs</t>
  </si>
  <si>
    <t>github</t>
  </si>
  <si>
    <t>https://github.com/niranjanadatta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</si>
</sst>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d\-mmm\-yy;@"/>
    <numFmt numFmtId="166" formatCode="[$-409]d\-mmm;@"/>
    <numFmt numFmtId="167" formatCode="0.0000"/>
    <numFmt numFmtId="168" formatCode="00000"/>
    <numFmt numFmtId="169" formatCode="0.0"/>
  </numFmts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sz val="10"/>
      <color rgb="FF26282A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Verdana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color indexed="9"/>
      <name val="Trebuchet MS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Arial"/>
      <family val="2"/>
    </font>
    <font>
      <b/>
      <i/>
      <u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008000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Times New Roman"/>
      <family val="1"/>
    </font>
    <font>
      <sz val="11"/>
      <color theme="4"/>
      <name val="Calibri"/>
      <family val="2"/>
      <scheme val="minor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393839"/>
      <name val="Arial"/>
      <family val="2"/>
    </font>
    <font>
      <sz val="10"/>
      <color rgb="FF000000"/>
      <name val="Arial"/>
      <family val="2"/>
    </font>
    <font>
      <sz val="10"/>
      <color rgb="FF393839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sz val="7"/>
      <color rgb="FF393839"/>
      <name val="Arial"/>
      <family val="2"/>
    </font>
    <font>
      <sz val="6"/>
      <color rgb="FF000000"/>
      <name val="Arial"/>
      <family val="2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Britannic Bold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F6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3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067D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DBDBD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DBDBD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7" fillId="0" borderId="0" applyFont="0" applyFill="0" applyBorder="0" applyAlignment="0" applyProtection="0"/>
  </cellStyleXfs>
  <cellXfs count="240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3" fillId="0" borderId="0" xfId="1"/>
    <xf numFmtId="0" fontId="0" fillId="0" borderId="0" xfId="0" applyAlignment="1">
      <alignment wrapText="1"/>
    </xf>
    <xf numFmtId="16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0" fillId="3" borderId="0" xfId="0" applyFill="1"/>
    <xf numFmtId="0" fontId="5" fillId="0" borderId="0" xfId="0" applyFont="1"/>
    <xf numFmtId="4" fontId="0" fillId="0" borderId="0" xfId="0" applyNumberFormat="1"/>
    <xf numFmtId="167" fontId="0" fillId="0" borderId="0" xfId="0" applyNumberFormat="1"/>
    <xf numFmtId="15" fontId="0" fillId="0" borderId="0" xfId="0" applyNumberFormat="1"/>
    <xf numFmtId="0" fontId="6" fillId="0" borderId="0" xfId="0" applyFont="1"/>
    <xf numFmtId="0" fontId="7" fillId="5" borderId="2" xfId="0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center" wrapText="1"/>
    </xf>
    <xf numFmtId="164" fontId="0" fillId="0" borderId="0" xfId="0" applyNumberFormat="1"/>
    <xf numFmtId="14" fontId="0" fillId="0" borderId="0" xfId="0" applyNumberFormat="1"/>
    <xf numFmtId="0" fontId="9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4" xfId="0" applyBorder="1"/>
    <xf numFmtId="0" fontId="0" fillId="0" borderId="5" xfId="0" applyBorder="1"/>
    <xf numFmtId="15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left" wrapText="1"/>
    </xf>
    <xf numFmtId="0" fontId="0" fillId="0" borderId="6" xfId="0" applyBorder="1" applyAlignment="1">
      <alignment horizontal="right" wrapText="1"/>
    </xf>
    <xf numFmtId="0" fontId="12" fillId="0" borderId="2" xfId="0" applyFont="1" applyBorder="1" applyAlignment="1">
      <alignment horizontal="left" wrapText="1"/>
    </xf>
    <xf numFmtId="0" fontId="1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1" fillId="9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15" fontId="0" fillId="2" borderId="0" xfId="0" applyNumberFormat="1" applyFill="1"/>
    <xf numFmtId="0" fontId="15" fillId="10" borderId="7" xfId="0" applyFont="1" applyFill="1" applyBorder="1" applyAlignment="1">
      <alignment wrapText="1"/>
    </xf>
    <xf numFmtId="0" fontId="16" fillId="0" borderId="7" xfId="0" applyFont="1" applyBorder="1" applyAlignment="1">
      <alignment wrapText="1"/>
    </xf>
    <xf numFmtId="14" fontId="16" fillId="0" borderId="7" xfId="0" applyNumberFormat="1" applyFont="1" applyBorder="1" applyAlignment="1">
      <alignment wrapText="1"/>
    </xf>
    <xf numFmtId="0" fontId="16" fillId="0" borderId="0" xfId="0" applyFont="1" applyAlignment="1">
      <alignment wrapText="1"/>
    </xf>
    <xf numFmtId="0" fontId="14" fillId="8" borderId="0" xfId="0" applyFont="1" applyFill="1"/>
    <xf numFmtId="0" fontId="0" fillId="8" borderId="0" xfId="0" applyFill="1"/>
    <xf numFmtId="0" fontId="0" fillId="11" borderId="0" xfId="0" applyFill="1"/>
    <xf numFmtId="0" fontId="12" fillId="0" borderId="0" xfId="0" applyFont="1"/>
    <xf numFmtId="0" fontId="17" fillId="0" borderId="0" xfId="1" applyFont="1"/>
    <xf numFmtId="0" fontId="18" fillId="0" borderId="0" xfId="0" applyFont="1"/>
    <xf numFmtId="0" fontId="7" fillId="5" borderId="3" xfId="0" applyFont="1" applyFill="1" applyBorder="1" applyAlignment="1">
      <alignment horizontal="center" wrapText="1"/>
    </xf>
    <xf numFmtId="0" fontId="0" fillId="0" borderId="0" xfId="0" applyAlignment="1">
      <alignment horizontal="left" vertical="top"/>
    </xf>
    <xf numFmtId="0" fontId="19" fillId="0" borderId="0" xfId="0" applyFont="1"/>
    <xf numFmtId="0" fontId="20" fillId="0" borderId="0" xfId="0" applyFont="1"/>
    <xf numFmtId="17" fontId="20" fillId="0" borderId="0" xfId="0" applyNumberFormat="1" applyFont="1"/>
    <xf numFmtId="167" fontId="1" fillId="0" borderId="0" xfId="0" applyNumberFormat="1" applyFont="1"/>
    <xf numFmtId="167" fontId="21" fillId="0" borderId="0" xfId="0" applyNumberFormat="1" applyFont="1"/>
    <xf numFmtId="167" fontId="21" fillId="8" borderId="0" xfId="0" applyNumberFormat="1" applyFont="1" applyFill="1"/>
    <xf numFmtId="0" fontId="22" fillId="2" borderId="0" xfId="0" applyFont="1" applyFill="1"/>
    <xf numFmtId="0" fontId="1" fillId="6" borderId="0" xfId="0" applyFont="1" applyFill="1"/>
    <xf numFmtId="0" fontId="0" fillId="6" borderId="0" xfId="0" applyFill="1"/>
    <xf numFmtId="167" fontId="1" fillId="6" borderId="0" xfId="0" applyNumberFormat="1" applyFont="1" applyFill="1"/>
    <xf numFmtId="0" fontId="0" fillId="0" borderId="0" xfId="0" applyAlignment="1">
      <alignment horizontal="right" wrapText="1"/>
    </xf>
    <xf numFmtId="0" fontId="23" fillId="0" borderId="0" xfId="0" applyFont="1" applyAlignment="1">
      <alignment horizontal="left" vertical="top"/>
    </xf>
    <xf numFmtId="0" fontId="17" fillId="0" borderId="0" xfId="0" applyFont="1"/>
    <xf numFmtId="0" fontId="24" fillId="0" borderId="0" xfId="2" applyNumberFormat="1" applyFont="1" applyBorder="1" applyAlignment="1">
      <alignment horizontal="right"/>
    </xf>
    <xf numFmtId="0" fontId="24" fillId="0" borderId="0" xfId="2" applyNumberFormat="1" applyFont="1" applyFill="1" applyBorder="1" applyAlignment="1">
      <alignment horizontal="right"/>
    </xf>
    <xf numFmtId="164" fontId="24" fillId="0" borderId="0" xfId="2" applyFont="1" applyBorder="1" applyAlignment="1"/>
    <xf numFmtId="0" fontId="12" fillId="0" borderId="0" xfId="0" applyFont="1" applyAlignment="1">
      <alignment horizontal="left" vertical="top"/>
    </xf>
    <xf numFmtId="0" fontId="11" fillId="0" borderId="0" xfId="0" applyFont="1"/>
    <xf numFmtId="4" fontId="9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left" vertical="top" wrapText="1"/>
    </xf>
    <xf numFmtId="3" fontId="0" fillId="0" borderId="0" xfId="0" applyNumberFormat="1"/>
    <xf numFmtId="15" fontId="0" fillId="4" borderId="0" xfId="0" applyNumberFormat="1" applyFill="1"/>
    <xf numFmtId="0" fontId="11" fillId="4" borderId="0" xfId="0" applyFont="1" applyFill="1"/>
    <xf numFmtId="0" fontId="0" fillId="4" borderId="0" xfId="0" applyFill="1"/>
    <xf numFmtId="0" fontId="25" fillId="12" borderId="8" xfId="0" applyFont="1" applyFill="1" applyBorder="1" applyAlignment="1">
      <alignment horizontal="right" vertical="center" wrapText="1"/>
    </xf>
    <xf numFmtId="15" fontId="25" fillId="12" borderId="8" xfId="0" applyNumberFormat="1" applyFont="1" applyFill="1" applyBorder="1" applyAlignment="1">
      <alignment horizontal="right" vertical="center" wrapText="1"/>
    </xf>
    <xf numFmtId="10" fontId="25" fillId="12" borderId="8" xfId="0" applyNumberFormat="1" applyFont="1" applyFill="1" applyBorder="1" applyAlignment="1">
      <alignment horizontal="right" vertical="center" wrapText="1"/>
    </xf>
    <xf numFmtId="0" fontId="0" fillId="13" borderId="0" xfId="0" applyFill="1"/>
    <xf numFmtId="0" fontId="0" fillId="13" borderId="1" xfId="0" applyFill="1" applyBorder="1"/>
    <xf numFmtId="167" fontId="0" fillId="2" borderId="0" xfId="0" applyNumberFormat="1" applyFill="1"/>
    <xf numFmtId="0" fontId="1" fillId="0" borderId="0" xfId="0" applyFont="1" applyAlignment="1">
      <alignment horizontal="center"/>
    </xf>
    <xf numFmtId="0" fontId="3" fillId="0" borderId="0" xfId="1" applyFill="1" applyAlignment="1">
      <alignment horizontal="left" vertical="top"/>
    </xf>
    <xf numFmtId="0" fontId="22" fillId="0" borderId="0" xfId="0" applyFont="1"/>
    <xf numFmtId="15" fontId="26" fillId="0" borderId="0" xfId="0" applyNumberFormat="1" applyFont="1"/>
    <xf numFmtId="0" fontId="26" fillId="0" borderId="0" xfId="0" applyFont="1"/>
    <xf numFmtId="167" fontId="26" fillId="0" borderId="0" xfId="0" applyNumberFormat="1" applyFont="1"/>
    <xf numFmtId="0" fontId="26" fillId="14" borderId="0" xfId="0" applyFont="1" applyFill="1"/>
    <xf numFmtId="14" fontId="26" fillId="0" borderId="0" xfId="0" applyNumberFormat="1" applyFont="1"/>
    <xf numFmtId="15" fontId="26" fillId="11" borderId="0" xfId="0" applyNumberFormat="1" applyFont="1" applyFill="1"/>
    <xf numFmtId="0" fontId="26" fillId="11" borderId="0" xfId="0" applyFont="1" applyFill="1"/>
    <xf numFmtId="4" fontId="26" fillId="0" borderId="0" xfId="0" applyNumberFormat="1" applyFont="1"/>
    <xf numFmtId="0" fontId="26" fillId="15" borderId="0" xfId="0" applyFont="1" applyFill="1"/>
    <xf numFmtId="167" fontId="26" fillId="15" borderId="0" xfId="0" applyNumberFormat="1" applyFont="1" applyFill="1"/>
    <xf numFmtId="0" fontId="27" fillId="4" borderId="0" xfId="0" applyFont="1" applyFill="1"/>
    <xf numFmtId="0" fontId="12" fillId="4" borderId="0" xfId="0" applyFont="1" applyFill="1"/>
    <xf numFmtId="164" fontId="28" fillId="0" borderId="0" xfId="2" applyFont="1" applyBorder="1" applyAlignment="1">
      <alignment horizontal="right"/>
    </xf>
    <xf numFmtId="2" fontId="0" fillId="0" borderId="0" xfId="0" applyNumberFormat="1"/>
    <xf numFmtId="15" fontId="1" fillId="0" borderId="0" xfId="0" applyNumberFormat="1" applyFont="1"/>
    <xf numFmtId="15" fontId="10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/>
    </xf>
    <xf numFmtId="0" fontId="27" fillId="0" borderId="0" xfId="0" applyFont="1"/>
    <xf numFmtId="0" fontId="0" fillId="0" borderId="3" xfId="0" applyBorder="1" applyAlignment="1">
      <alignment horizontal="left" wrapText="1"/>
    </xf>
    <xf numFmtId="0" fontId="31" fillId="0" borderId="2" xfId="0" applyFont="1" applyBorder="1" applyAlignment="1">
      <alignment horizontal="left" wrapText="1"/>
    </xf>
    <xf numFmtId="0" fontId="1" fillId="2" borderId="0" xfId="0" applyFont="1" applyFill="1"/>
    <xf numFmtId="15" fontId="0" fillId="16" borderId="0" xfId="0" applyNumberFormat="1" applyFill="1"/>
    <xf numFmtId="0" fontId="28" fillId="0" borderId="0" xfId="2" applyNumberFormat="1" applyFont="1" applyBorder="1" applyAlignment="1">
      <alignment horizontal="right"/>
    </xf>
    <xf numFmtId="15" fontId="12" fillId="0" borderId="0" xfId="0" applyNumberFormat="1" applyFont="1"/>
    <xf numFmtId="0" fontId="34" fillId="0" borderId="0" xfId="0" applyFont="1"/>
    <xf numFmtId="17" fontId="1" fillId="0" borderId="0" xfId="0" applyNumberFormat="1" applyFont="1"/>
    <xf numFmtId="0" fontId="0" fillId="0" borderId="9" xfId="0" applyBorder="1"/>
    <xf numFmtId="0" fontId="0" fillId="17" borderId="1" xfId="0" applyFill="1" applyBorder="1"/>
    <xf numFmtId="0" fontId="3" fillId="0" borderId="0" xfId="1" applyAlignment="1">
      <alignment wrapText="1"/>
    </xf>
    <xf numFmtId="0" fontId="0" fillId="0" borderId="11" xfId="0" applyBorder="1"/>
    <xf numFmtId="0" fontId="1" fillId="0" borderId="1" xfId="0" applyFont="1" applyBorder="1" applyAlignment="1">
      <alignment horizontal="center"/>
    </xf>
    <xf numFmtId="0" fontId="0" fillId="0" borderId="12" xfId="0" applyBorder="1" applyAlignment="1">
      <alignment horizontal="right" wrapText="1"/>
    </xf>
    <xf numFmtId="0" fontId="3" fillId="0" borderId="0" xfId="1" applyFill="1"/>
    <xf numFmtId="0" fontId="0" fillId="18" borderId="0" xfId="0" applyFill="1"/>
    <xf numFmtId="0" fontId="0" fillId="19" borderId="0" xfId="0" applyFill="1"/>
    <xf numFmtId="0" fontId="0" fillId="17" borderId="2" xfId="0" applyFill="1" applyBorder="1" applyAlignment="1">
      <alignment horizontal="left" wrapText="1"/>
    </xf>
    <xf numFmtId="0" fontId="0" fillId="20" borderId="2" xfId="0" applyFill="1" applyBorder="1" applyAlignment="1">
      <alignment horizontal="left" wrapText="1"/>
    </xf>
    <xf numFmtId="0" fontId="0" fillId="20" borderId="0" xfId="0" applyFill="1"/>
    <xf numFmtId="0" fontId="1" fillId="0" borderId="10" xfId="0" applyFont="1" applyBorder="1" applyAlignment="1">
      <alignment horizontal="center"/>
    </xf>
    <xf numFmtId="15" fontId="14" fillId="0" borderId="0" xfId="0" applyNumberFormat="1" applyFont="1"/>
    <xf numFmtId="15" fontId="12" fillId="2" borderId="0" xfId="0" applyNumberFormat="1" applyFont="1" applyFill="1"/>
    <xf numFmtId="0" fontId="1" fillId="0" borderId="0" xfId="0" applyFont="1" applyAlignment="1">
      <alignment wrapText="1"/>
    </xf>
    <xf numFmtId="15" fontId="22" fillId="0" borderId="0" xfId="0" applyNumberFormat="1" applyFont="1"/>
    <xf numFmtId="0" fontId="35" fillId="0" borderId="0" xfId="0" applyFont="1"/>
    <xf numFmtId="49" fontId="0" fillId="0" borderId="0" xfId="0" applyNumberFormat="1"/>
    <xf numFmtId="0" fontId="36" fillId="0" borderId="0" xfId="0" applyFont="1"/>
    <xf numFmtId="0" fontId="37" fillId="0" borderId="0" xfId="0" applyFont="1"/>
    <xf numFmtId="0" fontId="36" fillId="16" borderId="0" xfId="0" applyFont="1" applyFill="1"/>
    <xf numFmtId="0" fontId="36" fillId="2" borderId="0" xfId="0" applyFont="1" applyFill="1"/>
    <xf numFmtId="0" fontId="38" fillId="0" borderId="0" xfId="0" applyFont="1"/>
    <xf numFmtId="0" fontId="38" fillId="0" borderId="0" xfId="0" applyFont="1" applyAlignment="1">
      <alignment wrapText="1"/>
    </xf>
    <xf numFmtId="9" fontId="0" fillId="0" borderId="0" xfId="0" applyNumberFormat="1"/>
    <xf numFmtId="168" fontId="0" fillId="0" borderId="0" xfId="0" applyNumberFormat="1"/>
    <xf numFmtId="15" fontId="12" fillId="0" borderId="0" xfId="0" applyNumberFormat="1" applyFont="1" applyAlignment="1">
      <alignment wrapText="1"/>
    </xf>
    <xf numFmtId="0" fontId="0" fillId="15" borderId="3" xfId="0" applyFill="1" applyBorder="1" applyAlignment="1">
      <alignment horizontal="right" wrapText="1"/>
    </xf>
    <xf numFmtId="15" fontId="12" fillId="0" borderId="1" xfId="0" applyNumberFormat="1" applyFont="1" applyBorder="1"/>
    <xf numFmtId="0" fontId="12" fillId="0" borderId="1" xfId="0" applyFont="1" applyBorder="1"/>
    <xf numFmtId="0" fontId="1" fillId="0" borderId="1" xfId="0" applyFont="1" applyBorder="1"/>
    <xf numFmtId="15" fontId="12" fillId="2" borderId="1" xfId="0" applyNumberFormat="1" applyFont="1" applyFill="1" applyBorder="1"/>
    <xf numFmtId="0" fontId="39" fillId="21" borderId="8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right" wrapText="1"/>
    </xf>
    <xf numFmtId="0" fontId="12" fillId="0" borderId="3" xfId="0" applyFont="1" applyBorder="1" applyAlignment="1">
      <alignment horizontal="right" wrapText="1"/>
    </xf>
    <xf numFmtId="16" fontId="12" fillId="0" borderId="0" xfId="0" applyNumberFormat="1" applyFont="1"/>
    <xf numFmtId="0" fontId="1" fillId="0" borderId="0" xfId="0" applyFont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29" fillId="0" borderId="0" xfId="0" applyFont="1"/>
    <xf numFmtId="0" fontId="1" fillId="0" borderId="0" xfId="0" applyFont="1" applyAlignment="1">
      <alignment horizontal="center" wrapText="1"/>
    </xf>
    <xf numFmtId="0" fontId="30" fillId="0" borderId="2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0" xfId="0" applyFont="1" applyAlignment="1">
      <alignment horizontal="left" wrapText="1"/>
    </xf>
    <xf numFmtId="0" fontId="31" fillId="0" borderId="6" xfId="0" applyFont="1" applyBorder="1" applyAlignment="1">
      <alignment horizontal="left" wrapText="1"/>
    </xf>
    <xf numFmtId="0" fontId="31" fillId="0" borderId="2" xfId="0" applyFont="1" applyBorder="1" applyAlignment="1">
      <alignment horizontal="right" wrapText="1"/>
    </xf>
    <xf numFmtId="0" fontId="32" fillId="0" borderId="2" xfId="0" applyFont="1" applyBorder="1" applyAlignment="1">
      <alignment horizontal="right" wrapText="1"/>
    </xf>
    <xf numFmtId="0" fontId="33" fillId="0" borderId="2" xfId="0" applyFont="1" applyBorder="1" applyAlignment="1">
      <alignment horizontal="right" wrapText="1"/>
    </xf>
    <xf numFmtId="0" fontId="31" fillId="0" borderId="0" xfId="0" applyFont="1" applyAlignment="1">
      <alignment horizontal="right" wrapText="1"/>
    </xf>
    <xf numFmtId="0" fontId="12" fillId="0" borderId="10" xfId="0" applyFont="1" applyBorder="1"/>
    <xf numFmtId="0" fontId="1" fillId="19" borderId="0" xfId="0" applyFont="1" applyFill="1"/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right" wrapText="1"/>
    </xf>
    <xf numFmtId="16" fontId="40" fillId="0" borderId="0" xfId="0" applyNumberFormat="1" applyFont="1"/>
    <xf numFmtId="15" fontId="0" fillId="3" borderId="0" xfId="0" applyNumberFormat="1" applyFill="1"/>
    <xf numFmtId="15" fontId="1" fillId="8" borderId="0" xfId="0" applyNumberFormat="1" applyFont="1" applyFill="1"/>
    <xf numFmtId="0" fontId="15" fillId="10" borderId="13" xfId="0" applyFont="1" applyFill="1" applyBorder="1" applyAlignment="1">
      <alignment wrapText="1"/>
    </xf>
    <xf numFmtId="0" fontId="0" fillId="17" borderId="0" xfId="0" applyFill="1" applyAlignment="1">
      <alignment horizontal="left" wrapText="1"/>
    </xf>
    <xf numFmtId="0" fontId="0" fillId="17" borderId="0" xfId="0" applyFill="1"/>
    <xf numFmtId="0" fontId="0" fillId="14" borderId="0" xfId="0" applyFill="1"/>
    <xf numFmtId="0" fontId="0" fillId="22" borderId="0" xfId="0" applyFill="1"/>
    <xf numFmtId="0" fontId="0" fillId="0" borderId="1" xfId="0" applyBorder="1" applyAlignment="1">
      <alignment horizontal="center"/>
    </xf>
    <xf numFmtId="0" fontId="41" fillId="0" borderId="0" xfId="0" applyFont="1"/>
    <xf numFmtId="0" fontId="0" fillId="0" borderId="10" xfId="0" applyBorder="1"/>
    <xf numFmtId="0" fontId="0" fillId="23" borderId="1" xfId="0" applyFill="1" applyBorder="1"/>
    <xf numFmtId="0" fontId="12" fillId="23" borderId="1" xfId="0" applyFont="1" applyFill="1" applyBorder="1"/>
    <xf numFmtId="0" fontId="42" fillId="24" borderId="8" xfId="0" applyFont="1" applyFill="1" applyBorder="1" applyAlignment="1">
      <alignment horizontal="center" vertical="center" wrapText="1"/>
    </xf>
    <xf numFmtId="0" fontId="43" fillId="21" borderId="8" xfId="0" applyFont="1" applyFill="1" applyBorder="1" applyAlignment="1">
      <alignment horizontal="left" vertical="center" wrapText="1"/>
    </xf>
    <xf numFmtId="17" fontId="44" fillId="21" borderId="8" xfId="0" applyNumberFormat="1" applyFont="1" applyFill="1" applyBorder="1" applyAlignment="1">
      <alignment horizontal="center" vertical="center" wrapText="1"/>
    </xf>
    <xf numFmtId="0" fontId="45" fillId="21" borderId="8" xfId="0" applyFont="1" applyFill="1" applyBorder="1" applyAlignment="1">
      <alignment horizontal="center" vertical="center" wrapText="1"/>
    </xf>
    <xf numFmtId="0" fontId="45" fillId="21" borderId="8" xfId="0" applyFont="1" applyFill="1" applyBorder="1" applyAlignment="1">
      <alignment horizontal="left" vertical="center"/>
    </xf>
    <xf numFmtId="3" fontId="46" fillId="21" borderId="8" xfId="0" applyNumberFormat="1" applyFont="1" applyFill="1" applyBorder="1" applyAlignment="1">
      <alignment horizontal="right" vertical="center" wrapText="1"/>
    </xf>
    <xf numFmtId="0" fontId="46" fillId="21" borderId="8" xfId="0" applyFont="1" applyFill="1" applyBorder="1" applyAlignment="1">
      <alignment horizontal="right" vertical="center" wrapText="1"/>
    </xf>
    <xf numFmtId="3" fontId="44" fillId="21" borderId="8" xfId="0" applyNumberFormat="1" applyFont="1" applyFill="1" applyBorder="1" applyAlignment="1">
      <alignment horizontal="right" vertical="center" wrapText="1"/>
    </xf>
    <xf numFmtId="0" fontId="47" fillId="21" borderId="8" xfId="1" applyFont="1" applyFill="1" applyBorder="1" applyAlignment="1">
      <alignment horizontal="right" vertical="center" wrapText="1"/>
    </xf>
    <xf numFmtId="0" fontId="45" fillId="21" borderId="8" xfId="0" applyFont="1" applyFill="1" applyBorder="1" applyAlignment="1">
      <alignment horizontal="left" vertical="center" wrapText="1"/>
    </xf>
    <xf numFmtId="0" fontId="44" fillId="21" borderId="8" xfId="0" applyFont="1" applyFill="1" applyBorder="1" applyAlignment="1">
      <alignment horizontal="right" vertical="center" wrapText="1"/>
    </xf>
    <xf numFmtId="3" fontId="47" fillId="21" borderId="8" xfId="1" applyNumberFormat="1" applyFont="1" applyFill="1" applyBorder="1" applyAlignment="1">
      <alignment horizontal="right" vertical="center" wrapText="1"/>
    </xf>
    <xf numFmtId="0" fontId="45" fillId="9" borderId="8" xfId="0" applyFont="1" applyFill="1" applyBorder="1" applyAlignment="1">
      <alignment horizontal="center" vertical="center" wrapText="1"/>
    </xf>
    <xf numFmtId="0" fontId="44" fillId="9" borderId="8" xfId="0" applyFont="1" applyFill="1" applyBorder="1" applyAlignment="1">
      <alignment horizontal="right" vertical="center" wrapText="1"/>
    </xf>
    <xf numFmtId="3" fontId="44" fillId="9" borderId="8" xfId="0" applyNumberFormat="1" applyFont="1" applyFill="1" applyBorder="1" applyAlignment="1">
      <alignment horizontal="right" vertical="center" wrapText="1"/>
    </xf>
    <xf numFmtId="0" fontId="44" fillId="9" borderId="8" xfId="0" applyFont="1" applyFill="1" applyBorder="1" applyAlignment="1">
      <alignment horizontal="left" vertical="center" wrapText="1"/>
    </xf>
    <xf numFmtId="0" fontId="48" fillId="9" borderId="8" xfId="0" applyFont="1" applyFill="1" applyBorder="1" applyAlignment="1">
      <alignment horizontal="center" vertical="center" wrapText="1"/>
    </xf>
    <xf numFmtId="0" fontId="49" fillId="9" borderId="8" xfId="0" applyFont="1" applyFill="1" applyBorder="1" applyAlignment="1">
      <alignment horizontal="right" vertical="center" wrapText="1"/>
    </xf>
    <xf numFmtId="3" fontId="49" fillId="9" borderId="8" xfId="0" applyNumberFormat="1" applyFont="1" applyFill="1" applyBorder="1" applyAlignment="1">
      <alignment horizontal="right" vertical="center" wrapText="1"/>
    </xf>
    <xf numFmtId="0" fontId="49" fillId="9" borderId="8" xfId="0" applyFont="1" applyFill="1" applyBorder="1" applyAlignment="1">
      <alignment horizontal="left" vertical="center" wrapText="1"/>
    </xf>
    <xf numFmtId="0" fontId="50" fillId="0" borderId="0" xfId="0" applyFont="1"/>
    <xf numFmtId="0" fontId="50" fillId="0" borderId="1" xfId="0" applyFont="1" applyBorder="1"/>
    <xf numFmtId="0" fontId="1" fillId="17" borderId="0" xfId="0" applyFont="1" applyFill="1"/>
    <xf numFmtId="0" fontId="50" fillId="2" borderId="0" xfId="0" applyFont="1" applyFill="1"/>
    <xf numFmtId="0" fontId="12" fillId="23" borderId="5" xfId="0" applyFont="1" applyFill="1" applyBorder="1"/>
    <xf numFmtId="0" fontId="51" fillId="0" borderId="0" xfId="0" applyFont="1"/>
    <xf numFmtId="169" fontId="0" fillId="0" borderId="0" xfId="0" applyNumberFormat="1"/>
    <xf numFmtId="0" fontId="12" fillId="0" borderId="5" xfId="0" applyFont="1" applyBorder="1"/>
    <xf numFmtId="15" fontId="1" fillId="0" borderId="0" xfId="0" applyNumberFormat="1" applyFont="1" applyAlignment="1">
      <alignment horizontal="center" vertical="center"/>
    </xf>
    <xf numFmtId="0" fontId="24" fillId="0" borderId="0" xfId="0" applyFont="1"/>
    <xf numFmtId="0" fontId="24" fillId="23" borderId="1" xfId="0" applyFont="1" applyFill="1" applyBorder="1"/>
    <xf numFmtId="0" fontId="24" fillId="14" borderId="0" xfId="0" applyFont="1" applyFill="1"/>
    <xf numFmtId="20" fontId="0" fillId="0" borderId="0" xfId="0" applyNumberFormat="1"/>
    <xf numFmtId="16" fontId="1" fillId="0" borderId="0" xfId="0" applyNumberFormat="1" applyFont="1"/>
    <xf numFmtId="0" fontId="50" fillId="0" borderId="10" xfId="0" applyFont="1" applyBorder="1"/>
    <xf numFmtId="0" fontId="0" fillId="23" borderId="5" xfId="0" applyFill="1" applyBorder="1"/>
    <xf numFmtId="0" fontId="0" fillId="2" borderId="0" xfId="0" applyFill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1" fillId="15" borderId="1" xfId="0" applyFont="1" applyFill="1" applyBorder="1"/>
    <xf numFmtId="0" fontId="1" fillId="23" borderId="1" xfId="0" applyFont="1" applyFill="1" applyBorder="1"/>
    <xf numFmtId="0" fontId="1" fillId="0" borderId="0" xfId="0" applyFont="1" applyAlignment="1">
      <alignment horizontal="right" wrapText="1"/>
    </xf>
    <xf numFmtId="0" fontId="52" fillId="19" borderId="0" xfId="0" applyFont="1" applyFill="1"/>
    <xf numFmtId="4" fontId="52" fillId="19" borderId="0" xfId="0" applyNumberFormat="1" applyFont="1" applyFill="1"/>
    <xf numFmtId="4" fontId="1" fillId="19" borderId="0" xfId="0" applyNumberFormat="1" applyFont="1" applyFill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48" fillId="9" borderId="14" xfId="0" applyFont="1" applyFill="1" applyBorder="1" applyAlignment="1">
      <alignment horizontal="left" vertical="center" wrapText="1"/>
    </xf>
    <xf numFmtId="0" fontId="48" fillId="9" borderId="15" xfId="0" applyFont="1" applyFill="1" applyBorder="1" applyAlignment="1">
      <alignment horizontal="left" vertical="center" wrapText="1"/>
    </xf>
    <xf numFmtId="0" fontId="48" fillId="9" borderId="16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3" fillId="21" borderId="14" xfId="0" applyFont="1" applyFill="1" applyBorder="1" applyAlignment="1">
      <alignment horizontal="left" vertical="center" wrapText="1"/>
    </xf>
    <xf numFmtId="0" fontId="43" fillId="21" borderId="15" xfId="0" applyFont="1" applyFill="1" applyBorder="1" applyAlignment="1">
      <alignment horizontal="left" vertical="center" wrapText="1"/>
    </xf>
    <xf numFmtId="0" fontId="43" fillId="21" borderId="16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 A, Niranjana Datta" id="{AE6EDA15-B5AA-4541-A77C-EC01846736F6}" userId="S::ndatta@hpe.com::2c296c5e-9387-438c-8786-b47bbd1bad0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" dT="2021-02-21T02:20:59.61" personId="{AE6EDA15-B5AA-4541-A77C-EC01846736F6}" id="{55C267F1-106C-47B5-A560-292EAFB30E41}">
    <text>371036+124315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4-09-23T06:19:40.10" personId="{AE6EDA15-B5AA-4541-A77C-EC01846736F6}" id="{5FCBAC12-AB4C-4D14-BEBC-86BA4E054E1F}">
    <text>41061151001</text>
  </threadedComment>
  <threadedComment ref="D3" dT="2022-10-05T09:28:57.44" personId="{AE6EDA15-B5AA-4541-A77C-EC01846736F6}" id="{5A45BC62-9312-4E51-8857-B9C875389EF3}">
    <text>ProfilePassword</text>
  </threadedComment>
  <threadedComment ref="C5" dT="2025-11-10T05:25:52.72" personId="{AE6EDA15-B5AA-4541-A77C-EC01846736F6}" id="{A4D808C4-1602-4080-B0F4-86EB117CCCFB}">
    <text>Ninja05#</text>
  </threadedComment>
  <threadedComment ref="B8" dT="2023-07-16T07:16:25.40" personId="{AE6EDA15-B5AA-4541-A77C-EC01846736F6}" id="{15FA5917-6A9E-4BAC-AD9E-20E26D5ABB8B}">
    <text>https://www.compositedge.com/</text>
    <extLst>
      <x:ext xmlns:xltc2="http://schemas.microsoft.com/office/spreadsheetml/2020/threadedcomments2" uri="{F7C98A9C-CBB3-438F-8F68-D28B6AF4A901}">
        <xltc2:checksum>1317715593</xltc2:checksum>
        <xltc2:hyperlink startIndex="0" length="29" url="https://www.compositedge.com/"/>
      </x:ext>
    </extLst>
  </threadedComment>
  <threadedComment ref="C30" dT="2025-11-14T11:12:55.24" personId="{AE6EDA15-B5AA-4541-A77C-EC01846736F6}" id="{F05AF3A7-5812-481E-9C69-8B45D708D267}">
    <text>Bangalore05#</text>
  </threadedComment>
  <threadedComment ref="B35" dT="2023-07-16T07:16:32.14" personId="{AE6EDA15-B5AA-4541-A77C-EC01846736F6}" id="{7A9E9249-D975-4B51-A3BB-3CE5606B8815}">
    <text>https://passbook.epfindia.gov.in/MemberPassBook/login</text>
    <extLst>
      <x:ext xmlns:xltc2="http://schemas.microsoft.com/office/spreadsheetml/2020/threadedcomments2" uri="{F7C98A9C-CBB3-438F-8F68-D28B6AF4A901}">
        <xltc2:checksum>2051811413</xltc2:checksum>
        <xltc2:hyperlink startIndex="0" length="53" url="https://passbook.epfindia.gov.in/MemberPassBook/login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" dT="2023-01-01T17:10:54.88" personId="{AE6EDA15-B5AA-4541-A77C-EC01846736F6}" id="{8C049496-2A10-4C85-9E0F-F745E9B0EF44}">
    <text>sheriff police</text>
  </threadedComment>
  <threadedComment ref="B10" dT="2022-04-23T10:13:28.33" personId="{AE6EDA15-B5AA-4541-A77C-EC01846736F6}" id="{432C6304-8CAF-49A4-A34D-4130188C7F0D}">
    <text>https://www.youtube.com/watch?v=EDH0XnejLZk</text>
  </threadedComment>
  <threadedComment ref="B11" dT="2022-04-17T07:33:05.46" personId="{AE6EDA15-B5AA-4541-A77C-EC01846736F6}" id="{653C900C-199D-40BB-B4D2-456574CC1890}">
    <text>https://www.youtube.com/watch?v=NcWKCfYDWUA</text>
  </threadedComment>
  <threadedComment ref="B15" dT="2022-04-23T18:05:04.56" personId="{AE6EDA15-B5AA-4541-A77C-EC01846736F6}" id="{DC42AE7C-353F-4B1C-B42C-3633514B1740}">
    <text>https://www.youtube.com/watch?v=mA7yOAJBnnE</text>
  </threadedComment>
  <threadedComment ref="H17" dT="2022-04-23T17:30:46.68" personId="{AE6EDA15-B5AA-4541-A77C-EC01846736F6}" id="{3DF3C138-305A-4275-B1B7-7F5565BADBC8}">
    <text>https://www.youtube.com/watch?v=aO28oToth00</text>
  </threadedComment>
  <threadedComment ref="B19" dT="2022-04-23T16:53:15.69" personId="{AE6EDA15-B5AA-4541-A77C-EC01846736F6}" id="{12EA1B98-34BF-4357-85BE-4E60268643FC}">
    <text>https://www.youtube.com/watch?v=R2D0vBkWmww</text>
  </threadedComment>
  <threadedComment ref="B41" dT="2026-04-20T17:12:39.50" personId="{AE6EDA15-B5AA-4541-A77C-EC01846736F6}" id="{DC71B816-4251-4963-8637-7885FF82F05C}">
    <text>https://maps.app.goo.gl/zg38Rmw3qmeNpbLz7</text>
    <extLst>
      <x:ext xmlns:xltc2="http://schemas.microsoft.com/office/spreadsheetml/2020/threadedcomments2" uri="{F7C98A9C-CBB3-438F-8F68-D28B6AF4A901}">
        <xltc2:checksum>3461678974</xltc2:checksum>
        <xltc2:hyperlink startIndex="0" length="41" url="https://maps.app.goo.gl/zg38Rmw3qmeNpbLz7"/>
      </x:ext>
    </extLst>
  </threadedComment>
  <threadedComment ref="B42" dT="2026-04-20T17:12:17.14" personId="{AE6EDA15-B5AA-4541-A77C-EC01846736F6}" id="{4C25DD2A-6090-47F9-9CFA-9D5EE0259EF6}">
    <text>https://maps.app.goo.gl/s5vxpw3YQSArf2t5A</text>
    <extLst>
      <x:ext xmlns:xltc2="http://schemas.microsoft.com/office/spreadsheetml/2020/threadedcomments2" uri="{F7C98A9C-CBB3-438F-8F68-D28B6AF4A901}">
        <xltc2:checksum>3619628590</xltc2:checksum>
        <xltc2:hyperlink startIndex="0" length="41" url="https://maps.app.goo.gl/s5vxpw3YQSArf2t5A"/>
      </x:ext>
    </extLst>
  </threadedComment>
  <threadedComment ref="B44" dT="2026-05-08T04:50:26.65" personId="{AE6EDA15-B5AA-4541-A77C-EC01846736F6}" id="{7D47C80D-8078-4A18-BF8D-4D638A096643}">
    <text>https://maps.app.goo.gl/jqTdRTvoq96P7adTA</text>
    <extLst>
      <x:ext xmlns:xltc2="http://schemas.microsoft.com/office/spreadsheetml/2020/threadedcomments2" uri="{F7C98A9C-CBB3-438F-8F68-D28B6AF4A901}">
        <xltc2:checksum>3341798883</xltc2:checksum>
        <xltc2:hyperlink startIndex="0" length="41" url="https://maps.app.goo.gl/jqTdRTvoq96P7adTA"/>
      </x:ext>
    </extLst>
  </threadedComment>
  <threadedComment ref="B45" dT="2026-05-10T09:33:13.74" personId="{AE6EDA15-B5AA-4541-A77C-EC01846736F6}" id="{CF7981DD-B3C9-4420-AB17-29B6215A0779}">
    <text>https://youtu.be/WXpyImnyM1g?si=MpjWibhHw26BiXA3</text>
    <extLst>
      <x:ext xmlns:xltc2="http://schemas.microsoft.com/office/spreadsheetml/2020/threadedcomments2" uri="{F7C98A9C-CBB3-438F-8F68-D28B6AF4A901}">
        <xltc2:checksum>1231551689</xltc2:checksum>
        <xltc2:hyperlink startIndex="0" length="48" url="https://youtu.be/WXpyImnyM1g?si=MpjWibhHw26BiXA3"/>
      </x:ext>
    </extLst>
  </threadedComment>
  <threadedComment ref="B47" dT="2026-05-10T09:39:13.68" personId="{AE6EDA15-B5AA-4541-A77C-EC01846736F6}" id="{42BA146C-6124-452C-B4FC-CA6741B363E2}">
    <text>https://maps.app.goo.gl/CYYxod3RRay64fuFA</text>
    <extLst>
      <x:ext xmlns:xltc2="http://schemas.microsoft.com/office/spreadsheetml/2020/threadedcomments2" uri="{F7C98A9C-CBB3-438F-8F68-D28B6AF4A901}">
        <xltc2:checksum>2512440523</xltc2:checksum>
        <xltc2:hyperlink startIndex="0" length="41" url="https://maps.app.goo.gl/CYYxod3RRay64fuFA"/>
      </x:ext>
    </extLst>
  </threadedComment>
  <threadedComment ref="B48" dT="2026-05-10T09:43:22.09" personId="{AE6EDA15-B5AA-4541-A77C-EC01846736F6}" id="{7D50C344-87E1-4BD8-8507-57D825254F63}">
    <text>https://maps.app.goo.gl/8zgYPApwyQ85bhfeA</text>
    <extLst>
      <x:ext xmlns:xltc2="http://schemas.microsoft.com/office/spreadsheetml/2020/threadedcomments2" uri="{F7C98A9C-CBB3-438F-8F68-D28B6AF4A901}">
        <xltc2:checksum>911812130</xltc2:checksum>
        <xltc2:hyperlink startIndex="0" length="41" url="https://maps.app.goo.gl/8zgYPApwyQ85bhfeA"/>
      </x:ext>
    </extLst>
  </threadedComment>
  <threadedComment ref="B50" dT="2026-05-10T09:49:24.18" personId="{AE6EDA15-B5AA-4541-A77C-EC01846736F6}" id="{6F69AAEB-70FD-4EF0-BFDA-BFBDBDE3F1B6}">
    <text>https://maps.app.goo.gl/Yau4ZMsHYsbMVEfE8</text>
    <extLst>
      <x:ext xmlns:xltc2="http://schemas.microsoft.com/office/spreadsheetml/2020/threadedcomments2" uri="{F7C98A9C-CBB3-438F-8F68-D28B6AF4A901}">
        <xltc2:checksum>3451397970</xltc2:checksum>
        <xltc2:hyperlink startIndex="0" length="41" url="https://maps.app.goo.gl/Yau4ZMsHYsbMVEfE8"/>
      </x:ext>
    </extLst>
  </threadedComment>
  <threadedComment ref="B62" dT="2022-04-23T17:21:23.06" personId="{AE6EDA15-B5AA-4541-A77C-EC01846736F6}" id="{E4AE358E-9711-4D6A-BA17-D4523016ED6F}">
    <text>https://www.youtube.com/watch?v=womZ6PE7zhA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5@ndatta" TargetMode="External"/><Relationship Id="rId2" Type="http://schemas.openxmlformats.org/officeDocument/2006/relationships/hyperlink" Target="mailto:ndatta@5" TargetMode="External"/><Relationship Id="rId1" Type="http://schemas.openxmlformats.org/officeDocument/2006/relationships/hyperlink" Target="mailto:Mindtree@12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best1.bseindia.com/BSE/Login/index.jsp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twitter.com/FinMedium/status/1533475302411685888" TargetMode="External"/><Relationship Id="rId2" Type="http://schemas.openxmlformats.org/officeDocument/2006/relationships/hyperlink" Target="https://twitter.com/FinMedium/status/1535644455327236102" TargetMode="External"/><Relationship Id="rId1" Type="http://schemas.openxmlformats.org/officeDocument/2006/relationships/hyperlink" Target="https://twitter.com/FinMedium/status/1536372936902201344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niranjana40@yahoo.com" TargetMode="External"/><Relationship Id="rId13" Type="http://schemas.openxmlformats.org/officeDocument/2006/relationships/hyperlink" Target="mailto:niranjana40@gmail.com" TargetMode="External"/><Relationship Id="rId18" Type="http://schemas.openxmlformats.org/officeDocument/2006/relationships/hyperlink" Target="mailto:SahanaLKamble@outlook.com" TargetMode="External"/><Relationship Id="rId3" Type="http://schemas.openxmlformats.org/officeDocument/2006/relationships/hyperlink" Target="mailto:niranjanainvest@gmail.com" TargetMode="External"/><Relationship Id="rId21" Type="http://schemas.openxmlformats.org/officeDocument/2006/relationships/printerSettings" Target="../printerSettings/printerSettings13.bin"/><Relationship Id="rId7" Type="http://schemas.openxmlformats.org/officeDocument/2006/relationships/hyperlink" Target="mailto:niranjana40@yahoo.com" TargetMode="External"/><Relationship Id="rId12" Type="http://schemas.openxmlformats.org/officeDocument/2006/relationships/hyperlink" Target="mailto:niranjana40@gmail.com" TargetMode="External"/><Relationship Id="rId17" Type="http://schemas.openxmlformats.org/officeDocument/2006/relationships/hyperlink" Target="mailto:latha.anantha@outlook.com" TargetMode="External"/><Relationship Id="rId2" Type="http://schemas.openxmlformats.org/officeDocument/2006/relationships/hyperlink" Target="mailto:niranjan.kamble@gmail.com" TargetMode="External"/><Relationship Id="rId16" Type="http://schemas.openxmlformats.org/officeDocument/2006/relationships/hyperlink" Target="mailto:niranjana40@gmail.com" TargetMode="External"/><Relationship Id="rId20" Type="http://schemas.openxmlformats.org/officeDocument/2006/relationships/hyperlink" Target="https://meskkpu.edchemy.com/" TargetMode="External"/><Relationship Id="rId1" Type="http://schemas.openxmlformats.org/officeDocument/2006/relationships/hyperlink" Target="mailto:kambleanantha@gmail.com" TargetMode="External"/><Relationship Id="rId6" Type="http://schemas.openxmlformats.org/officeDocument/2006/relationships/hyperlink" Target="mailto:latha.anantha@gmail.com" TargetMode="External"/><Relationship Id="rId11" Type="http://schemas.openxmlformats.org/officeDocument/2006/relationships/hyperlink" Target="mailto:SahanaLKamble@gmail.com" TargetMode="External"/><Relationship Id="rId24" Type="http://schemas.microsoft.com/office/2017/10/relationships/threadedComment" Target="../threadedComments/threadedComment2.xml"/><Relationship Id="rId5" Type="http://schemas.openxmlformats.org/officeDocument/2006/relationships/hyperlink" Target="mailto:niranjana.datta@gmail.com" TargetMode="External"/><Relationship Id="rId15" Type="http://schemas.openxmlformats.org/officeDocument/2006/relationships/hyperlink" Target="mailto:kanirak8s@gmail.com" TargetMode="External"/><Relationship Id="rId23" Type="http://schemas.openxmlformats.org/officeDocument/2006/relationships/comments" Target="../comments6.xml"/><Relationship Id="rId10" Type="http://schemas.openxmlformats.org/officeDocument/2006/relationships/hyperlink" Target="mailto:niranjana40@gmail.com" TargetMode="External"/><Relationship Id="rId19" Type="http://schemas.openxmlformats.org/officeDocument/2006/relationships/hyperlink" Target="mailto:susheelaabhandari@outlook.com" TargetMode="External"/><Relationship Id="rId4" Type="http://schemas.openxmlformats.org/officeDocument/2006/relationships/hyperlink" Target="mailto:niranjana40@gmail.com" TargetMode="External"/><Relationship Id="rId9" Type="http://schemas.openxmlformats.org/officeDocument/2006/relationships/hyperlink" Target="mailto:latha.anantha@gmail.com" TargetMode="External"/><Relationship Id="rId14" Type="http://schemas.openxmlformats.org/officeDocument/2006/relationships/hyperlink" Target="mailto:niranjana40@hotmail.com" TargetMode="External"/><Relationship Id="rId22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B@ngalore10" TargetMode="External"/><Relationship Id="rId13" Type="http://schemas.openxmlformats.org/officeDocument/2006/relationships/hyperlink" Target="mailto:niranjanainvest@gmail.com" TargetMode="External"/><Relationship Id="rId18" Type="http://schemas.openxmlformats.org/officeDocument/2006/relationships/printerSettings" Target="../printerSettings/printerSettings14.bin"/><Relationship Id="rId3" Type="http://schemas.openxmlformats.org/officeDocument/2006/relationships/hyperlink" Target="mailto:niranjana40@yahoo.com" TargetMode="External"/><Relationship Id="rId7" Type="http://schemas.openxmlformats.org/officeDocument/2006/relationships/hyperlink" Target="mailto:B@ngalore05" TargetMode="External"/><Relationship Id="rId12" Type="http://schemas.openxmlformats.org/officeDocument/2006/relationships/hyperlink" Target="mailto:niranjana40@yahoo.com" TargetMode="External"/><Relationship Id="rId17" Type="http://schemas.openxmlformats.org/officeDocument/2006/relationships/hyperlink" Target="mailto:niranjanainvest@gmail.com" TargetMode="External"/><Relationship Id="rId2" Type="http://schemas.openxmlformats.org/officeDocument/2006/relationships/hyperlink" Target="mailto:niranjana40@gmail.com" TargetMode="External"/><Relationship Id="rId16" Type="http://schemas.openxmlformats.org/officeDocument/2006/relationships/hyperlink" Target="mailto:niranjana40@gmail.com" TargetMode="External"/><Relationship Id="rId1" Type="http://schemas.openxmlformats.org/officeDocument/2006/relationships/hyperlink" Target="mailto:niranjana40@gmail.com" TargetMode="External"/><Relationship Id="rId6" Type="http://schemas.openxmlformats.org/officeDocument/2006/relationships/hyperlink" Target="mailto:niranjanainvest@gmail.com" TargetMode="External"/><Relationship Id="rId11" Type="http://schemas.openxmlformats.org/officeDocument/2006/relationships/hyperlink" Target="mailto:niranjanainvest@gmail.com" TargetMode="External"/><Relationship Id="rId5" Type="http://schemas.openxmlformats.org/officeDocument/2006/relationships/hyperlink" Target="mailto:niranjanainvest@gmail.com" TargetMode="External"/><Relationship Id="rId15" Type="http://schemas.openxmlformats.org/officeDocument/2006/relationships/hyperlink" Target="mailto:niranjanainvest@gmail.com" TargetMode="External"/><Relationship Id="rId10" Type="http://schemas.openxmlformats.org/officeDocument/2006/relationships/hyperlink" Target="mailto:B@ng@l0re05#" TargetMode="External"/><Relationship Id="rId4" Type="http://schemas.openxmlformats.org/officeDocument/2006/relationships/hyperlink" Target="mailto:niranjana40@gmail.com" TargetMode="External"/><Relationship Id="rId9" Type="http://schemas.openxmlformats.org/officeDocument/2006/relationships/hyperlink" Target="mailto:B@ng@lore05#" TargetMode="External"/><Relationship Id="rId14" Type="http://schemas.openxmlformats.org/officeDocument/2006/relationships/hyperlink" Target="mailto:niranjanainvest@gmail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ess.excelityglobal.com/DynamicMenuServlet?url=/empCumPaySlip.jsp" TargetMode="External"/><Relationship Id="rId3" Type="http://schemas.openxmlformats.org/officeDocument/2006/relationships/hyperlink" Target="https://ess.excelityglobal.com/DynamicMenuServlet?url=/empCumPaySlip.jsp" TargetMode="External"/><Relationship Id="rId7" Type="http://schemas.openxmlformats.org/officeDocument/2006/relationships/hyperlink" Target="https://ess.excelityglobal.com/DynamicMenuServlet?url=/empCumPaySlip.jsp" TargetMode="External"/><Relationship Id="rId2" Type="http://schemas.openxmlformats.org/officeDocument/2006/relationships/hyperlink" Target="https://ess.excelityglobal.com/DynamicMenuServlet?url=/empCumPaySlip.jsp" TargetMode="External"/><Relationship Id="rId1" Type="http://schemas.openxmlformats.org/officeDocument/2006/relationships/hyperlink" Target="https://ess.excelityglobal.com/DynamicMenuServlet?url=/empCumPaySlip.jsp" TargetMode="External"/><Relationship Id="rId6" Type="http://schemas.openxmlformats.org/officeDocument/2006/relationships/hyperlink" Target="https://ess.excelityglobal.com/DynamicMenuServlet?url=/empCumPaySlip.jsp" TargetMode="External"/><Relationship Id="rId5" Type="http://schemas.openxmlformats.org/officeDocument/2006/relationships/hyperlink" Target="https://ess.excelityglobal.com/DynamicMenuServlet?url=/empCumPaySlip.jsp" TargetMode="External"/><Relationship Id="rId4" Type="http://schemas.openxmlformats.org/officeDocument/2006/relationships/hyperlink" Target="https://ess.excelityglobal.com/DynamicMenuServlet?url=/empCumPaySlip.jsp" TargetMode="External"/><Relationship Id="rId9" Type="http://schemas.openxmlformats.org/officeDocument/2006/relationships/hyperlink" Target="https://ess.excelityglobal.com/DynamicMenuServlet?url=/empCumPaySlip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73"/>
  <sheetViews>
    <sheetView topLeftCell="A40" zoomScale="90" zoomScaleNormal="90" workbookViewId="0">
      <selection activeCell="L1" sqref="L1:L7"/>
    </sheetView>
  </sheetViews>
  <sheetFormatPr defaultColWidth="9.109375" defaultRowHeight="14.4" x14ac:dyDescent="0.3"/>
  <cols>
    <col min="1" max="1" width="9.88671875" bestFit="1" customWidth="1"/>
    <col min="2" max="2" width="40.88671875" bestFit="1" customWidth="1"/>
    <col min="4" max="4" width="11.44140625" customWidth="1"/>
    <col min="6" max="6" width="13.5546875" bestFit="1" customWidth="1"/>
    <col min="7" max="7" width="13.33203125" bestFit="1" customWidth="1"/>
    <col min="8" max="9" width="13.77734375" bestFit="1" customWidth="1"/>
    <col min="10" max="10" width="10.5546875" bestFit="1" customWidth="1"/>
    <col min="12" max="12" width="14.44140625" customWidth="1"/>
    <col min="13" max="13" width="13.77734375" bestFit="1" customWidth="1"/>
    <col min="14" max="14" width="10.88671875" bestFit="1" customWidth="1"/>
    <col min="15" max="15" width="12.6640625" bestFit="1" customWidth="1"/>
    <col min="22" max="22" width="9.88671875" bestFit="1" customWidth="1"/>
    <col min="31" max="31" width="8.88671875" customWidth="1"/>
  </cols>
  <sheetData>
    <row r="1" spans="1:26" x14ac:dyDescent="0.3">
      <c r="F1" t="s">
        <v>17</v>
      </c>
      <c r="G1" t="s">
        <v>18</v>
      </c>
      <c r="K1" t="s">
        <v>50</v>
      </c>
      <c r="L1">
        <v>818919</v>
      </c>
      <c r="M1">
        <v>1017159</v>
      </c>
      <c r="N1" s="13">
        <f t="shared" ref="N1:N7" si="0">M1-L1</f>
        <v>198240</v>
      </c>
      <c r="Q1" s="227" t="s">
        <v>238</v>
      </c>
      <c r="R1" s="227"/>
      <c r="U1" s="227" t="s">
        <v>239</v>
      </c>
      <c r="V1" s="227"/>
    </row>
    <row r="2" spans="1:26" x14ac:dyDescent="0.3">
      <c r="J2" s="1"/>
      <c r="K2" t="s">
        <v>331</v>
      </c>
      <c r="L2">
        <v>572784</v>
      </c>
      <c r="M2">
        <v>611678</v>
      </c>
      <c r="N2" s="13">
        <f t="shared" si="0"/>
        <v>38894</v>
      </c>
      <c r="O2" s="7"/>
      <c r="P2" s="7"/>
      <c r="Q2" s="43">
        <v>40452</v>
      </c>
      <c r="R2" s="3">
        <v>1</v>
      </c>
      <c r="S2">
        <v>32</v>
      </c>
      <c r="U2" s="3" t="s">
        <v>227</v>
      </c>
      <c r="V2">
        <v>1</v>
      </c>
      <c r="Y2" s="15">
        <v>29129</v>
      </c>
      <c r="Z2">
        <v>1</v>
      </c>
    </row>
    <row r="3" spans="1:26" x14ac:dyDescent="0.3">
      <c r="A3">
        <v>3</v>
      </c>
      <c r="B3" s="67" t="s">
        <v>193</v>
      </c>
      <c r="D3" s="3">
        <v>174000</v>
      </c>
      <c r="F3" s="14">
        <v>1038.9929999999999</v>
      </c>
      <c r="G3" s="14">
        <v>168.22</v>
      </c>
      <c r="H3" s="85">
        <f t="shared" ref="H3:H8" si="1">F3*G3</f>
        <v>174779.40245999998</v>
      </c>
      <c r="I3" s="14">
        <f t="shared" ref="I3:I8" si="2">H3-D3</f>
        <v>779.40245999998297</v>
      </c>
      <c r="J3" s="9"/>
      <c r="K3" t="s">
        <v>43</v>
      </c>
      <c r="L3">
        <v>941985</v>
      </c>
      <c r="M3">
        <v>1029630</v>
      </c>
      <c r="N3" s="13">
        <f t="shared" si="0"/>
        <v>87645</v>
      </c>
      <c r="Q3" s="43">
        <v>40817</v>
      </c>
      <c r="R3" s="3">
        <v>2</v>
      </c>
      <c r="S3">
        <v>33</v>
      </c>
      <c r="U3" s="3" t="s">
        <v>228</v>
      </c>
      <c r="V3">
        <v>2</v>
      </c>
      <c r="Y3" s="15">
        <v>29495</v>
      </c>
      <c r="Z3">
        <v>2</v>
      </c>
    </row>
    <row r="4" spans="1:26" x14ac:dyDescent="0.3">
      <c r="A4">
        <v>13</v>
      </c>
      <c r="B4" s="72" t="s">
        <v>218</v>
      </c>
      <c r="D4">
        <v>113500</v>
      </c>
      <c r="F4" s="14">
        <v>755.928</v>
      </c>
      <c r="G4" s="14">
        <v>185.11449999999999</v>
      </c>
      <c r="H4" s="14">
        <f t="shared" si="1"/>
        <v>139933.233756</v>
      </c>
      <c r="I4" s="14">
        <f t="shared" si="2"/>
        <v>26433.233756000001</v>
      </c>
      <c r="K4" s="7" t="s">
        <v>58</v>
      </c>
      <c r="L4">
        <v>535261</v>
      </c>
      <c r="M4">
        <v>573274</v>
      </c>
      <c r="N4" s="13">
        <f t="shared" si="0"/>
        <v>38013</v>
      </c>
      <c r="Q4" s="43">
        <v>41183</v>
      </c>
      <c r="R4" s="3">
        <v>3</v>
      </c>
      <c r="S4">
        <v>34</v>
      </c>
      <c r="U4" s="3" t="s">
        <v>229</v>
      </c>
      <c r="V4">
        <v>3</v>
      </c>
      <c r="Y4" s="15">
        <v>29860</v>
      </c>
      <c r="Z4">
        <v>3</v>
      </c>
    </row>
    <row r="5" spans="1:26" x14ac:dyDescent="0.3">
      <c r="A5" s="15">
        <v>44244</v>
      </c>
      <c r="B5" s="55" t="s">
        <v>215</v>
      </c>
      <c r="D5" s="4">
        <v>198500</v>
      </c>
      <c r="F5" s="14">
        <v>3850.105</v>
      </c>
      <c r="G5" s="59">
        <v>73.192999999999998</v>
      </c>
      <c r="H5" s="85">
        <f t="shared" si="1"/>
        <v>281800.73526499997</v>
      </c>
      <c r="I5" s="85">
        <f t="shared" si="2"/>
        <v>83300.735264999967</v>
      </c>
      <c r="J5" t="s">
        <v>383</v>
      </c>
      <c r="K5" t="s">
        <v>330</v>
      </c>
      <c r="L5">
        <v>495351</v>
      </c>
      <c r="M5">
        <v>563037</v>
      </c>
      <c r="N5" s="13">
        <f t="shared" si="0"/>
        <v>67686</v>
      </c>
      <c r="Q5" s="43">
        <v>41548</v>
      </c>
      <c r="R5" s="3">
        <v>4</v>
      </c>
      <c r="S5">
        <v>35</v>
      </c>
      <c r="U5" s="3" t="s">
        <v>230</v>
      </c>
      <c r="V5">
        <v>4</v>
      </c>
      <c r="Y5" s="15">
        <v>30225</v>
      </c>
      <c r="Z5">
        <v>4</v>
      </c>
    </row>
    <row r="6" spans="1:26" x14ac:dyDescent="0.3">
      <c r="A6" s="15">
        <v>44244</v>
      </c>
      <c r="B6" s="72" t="s">
        <v>0</v>
      </c>
      <c r="D6" s="4">
        <v>124000</v>
      </c>
      <c r="F6" s="14">
        <v>181.16</v>
      </c>
      <c r="G6" s="59">
        <v>996.8</v>
      </c>
      <c r="H6" s="85">
        <f t="shared" si="1"/>
        <v>180580.288</v>
      </c>
      <c r="I6" s="85">
        <f t="shared" si="2"/>
        <v>56580.288</v>
      </c>
      <c r="J6" s="7" t="s">
        <v>383</v>
      </c>
      <c r="K6" s="7" t="s">
        <v>329</v>
      </c>
      <c r="L6">
        <v>1561475</v>
      </c>
      <c r="M6">
        <v>1737734</v>
      </c>
      <c r="N6" s="13">
        <f t="shared" si="0"/>
        <v>176259</v>
      </c>
      <c r="Q6" s="43">
        <v>41913</v>
      </c>
      <c r="R6" s="3">
        <v>5</v>
      </c>
      <c r="S6">
        <v>36</v>
      </c>
      <c r="U6" s="3" t="s">
        <v>231</v>
      </c>
      <c r="V6">
        <v>5</v>
      </c>
      <c r="Y6" s="15">
        <v>30590</v>
      </c>
      <c r="Z6">
        <v>5</v>
      </c>
    </row>
    <row r="7" spans="1:26" x14ac:dyDescent="0.3">
      <c r="A7" s="15">
        <v>44244</v>
      </c>
      <c r="B7" s="67" t="s">
        <v>195</v>
      </c>
      <c r="D7" s="79">
        <v>100000</v>
      </c>
      <c r="F7" s="14">
        <v>5884.7759999999998</v>
      </c>
      <c r="G7" s="14">
        <v>21.125</v>
      </c>
      <c r="H7" s="85">
        <f t="shared" si="1"/>
        <v>124315.893</v>
      </c>
      <c r="I7" s="85">
        <f t="shared" si="2"/>
        <v>24315.892999999996</v>
      </c>
      <c r="K7" t="s">
        <v>600</v>
      </c>
      <c r="L7">
        <v>1000000</v>
      </c>
      <c r="M7">
        <v>1008339</v>
      </c>
      <c r="N7" s="13">
        <f t="shared" si="0"/>
        <v>8339</v>
      </c>
      <c r="P7">
        <v>1618.538</v>
      </c>
      <c r="Q7" s="43">
        <v>42278</v>
      </c>
      <c r="R7" s="3">
        <v>6</v>
      </c>
      <c r="S7">
        <v>37</v>
      </c>
      <c r="U7" s="3" t="s">
        <v>232</v>
      </c>
      <c r="V7">
        <v>6</v>
      </c>
      <c r="Y7" s="15">
        <v>30956</v>
      </c>
      <c r="Z7">
        <v>6</v>
      </c>
    </row>
    <row r="8" spans="1:26" x14ac:dyDescent="0.3">
      <c r="A8" t="s">
        <v>392</v>
      </c>
      <c r="B8" s="55" t="s">
        <v>196</v>
      </c>
      <c r="D8" s="3">
        <v>59000</v>
      </c>
      <c r="F8" s="14">
        <v>482.22</v>
      </c>
      <c r="G8" s="59">
        <v>165.79</v>
      </c>
      <c r="H8" s="85">
        <f t="shared" si="1"/>
        <v>79947.253800000006</v>
      </c>
      <c r="I8" s="14">
        <f t="shared" si="2"/>
        <v>20947.253800000006</v>
      </c>
      <c r="L8">
        <f>SUM(L1:L7)</f>
        <v>5925775</v>
      </c>
      <c r="M8">
        <f>SUM(M1:M7)</f>
        <v>6540851</v>
      </c>
      <c r="P8">
        <v>-453.66199999999998</v>
      </c>
      <c r="Q8" s="43">
        <v>42644</v>
      </c>
      <c r="R8" s="3">
        <v>7</v>
      </c>
      <c r="S8">
        <v>38</v>
      </c>
      <c r="U8" s="3" t="s">
        <v>233</v>
      </c>
      <c r="V8">
        <v>7</v>
      </c>
      <c r="Y8" s="15">
        <v>31321</v>
      </c>
      <c r="Z8">
        <v>7</v>
      </c>
    </row>
    <row r="9" spans="1:26" x14ac:dyDescent="0.3">
      <c r="J9" t="s">
        <v>148</v>
      </c>
      <c r="K9">
        <f>SUM(I6:I27)</f>
        <v>3022122.5367544005</v>
      </c>
      <c r="L9" s="14"/>
      <c r="M9">
        <f>M8-L8</f>
        <v>615076</v>
      </c>
      <c r="N9" s="13"/>
      <c r="P9">
        <f>SUM(P7:P8)</f>
        <v>1164.876</v>
      </c>
      <c r="Q9" s="43">
        <v>43009</v>
      </c>
      <c r="R9" s="3">
        <v>8</v>
      </c>
      <c r="S9">
        <v>39</v>
      </c>
      <c r="U9" s="3" t="s">
        <v>234</v>
      </c>
      <c r="V9">
        <v>8</v>
      </c>
      <c r="Y9" s="15">
        <v>31686</v>
      </c>
      <c r="Z9">
        <v>8</v>
      </c>
    </row>
    <row r="10" spans="1:26" x14ac:dyDescent="0.3">
      <c r="A10" s="79" t="s">
        <v>388</v>
      </c>
      <c r="B10" s="55" t="s">
        <v>192</v>
      </c>
      <c r="D10" s="79">
        <v>100000</v>
      </c>
      <c r="F10" s="14">
        <v>7072.4859999999999</v>
      </c>
      <c r="G10" s="14">
        <v>16.850000000000001</v>
      </c>
      <c r="H10" s="14">
        <f t="shared" ref="H10:H16" si="3">F10*G10</f>
        <v>119171.38910000001</v>
      </c>
      <c r="I10" s="14">
        <f t="shared" ref="I10:I16" si="4">H10-D10</f>
        <v>19171.389100000015</v>
      </c>
      <c r="J10" t="s">
        <v>148</v>
      </c>
      <c r="L10" s="14"/>
      <c r="Q10" s="43">
        <v>43374</v>
      </c>
      <c r="R10" s="3">
        <v>9</v>
      </c>
      <c r="S10">
        <v>40</v>
      </c>
      <c r="U10" s="3" t="s">
        <v>235</v>
      </c>
      <c r="V10">
        <v>9</v>
      </c>
      <c r="Y10" s="15">
        <v>32051</v>
      </c>
      <c r="Z10">
        <v>9</v>
      </c>
    </row>
    <row r="11" spans="1:26" x14ac:dyDescent="0.3">
      <c r="A11" s="79" t="s">
        <v>391</v>
      </c>
      <c r="B11" s="67" t="s">
        <v>212</v>
      </c>
      <c r="D11" s="79">
        <v>100000</v>
      </c>
      <c r="F11" s="14">
        <v>544.04</v>
      </c>
      <c r="G11" s="14">
        <v>215.01300000000001</v>
      </c>
      <c r="H11" s="14">
        <f t="shared" si="3"/>
        <v>116975.67251999999</v>
      </c>
      <c r="I11" s="14">
        <f t="shared" si="4"/>
        <v>16975.672519999993</v>
      </c>
      <c r="L11">
        <v>572784</v>
      </c>
      <c r="N11">
        <v>54.805799999999998</v>
      </c>
      <c r="O11">
        <v>453.66199999999998</v>
      </c>
      <c r="P11">
        <f>N11*O11</f>
        <v>24863.308839599998</v>
      </c>
      <c r="Q11" s="43">
        <v>43739</v>
      </c>
      <c r="R11" s="3">
        <v>10</v>
      </c>
      <c r="S11">
        <v>41</v>
      </c>
      <c r="U11" t="s">
        <v>236</v>
      </c>
      <c r="V11">
        <v>10</v>
      </c>
      <c r="Y11" s="15">
        <v>32417</v>
      </c>
      <c r="Z11">
        <v>10</v>
      </c>
    </row>
    <row r="12" spans="1:26" x14ac:dyDescent="0.3">
      <c r="A12" s="79" t="s">
        <v>389</v>
      </c>
      <c r="B12" s="55" t="s">
        <v>219</v>
      </c>
      <c r="D12" s="3">
        <v>10000</v>
      </c>
      <c r="F12">
        <v>363.18700000000001</v>
      </c>
      <c r="G12" s="59">
        <v>34.743000000000002</v>
      </c>
      <c r="H12" s="14">
        <f t="shared" si="3"/>
        <v>12618.205941000002</v>
      </c>
      <c r="I12" s="14">
        <f t="shared" si="4"/>
        <v>2618.205941000002</v>
      </c>
      <c r="J12" t="s">
        <v>148</v>
      </c>
      <c r="L12" s="7"/>
      <c r="P12">
        <v>6</v>
      </c>
      <c r="Q12" s="43">
        <v>44105</v>
      </c>
      <c r="R12" s="3">
        <v>11</v>
      </c>
      <c r="S12">
        <v>42</v>
      </c>
      <c r="U12" t="s">
        <v>237</v>
      </c>
      <c r="V12">
        <v>11</v>
      </c>
      <c r="Y12" s="15">
        <v>32782</v>
      </c>
      <c r="Z12">
        <v>11</v>
      </c>
    </row>
    <row r="13" spans="1:26" x14ac:dyDescent="0.3">
      <c r="A13" s="79" t="s">
        <v>393</v>
      </c>
      <c r="B13" s="87" t="s">
        <v>194</v>
      </c>
      <c r="D13" s="3">
        <v>35000</v>
      </c>
      <c r="F13" s="14">
        <v>440.904</v>
      </c>
      <c r="G13" s="59">
        <v>101.72</v>
      </c>
      <c r="H13" s="14">
        <f t="shared" si="3"/>
        <v>44848.75488</v>
      </c>
      <c r="I13" s="14">
        <f t="shared" si="4"/>
        <v>9848.7548800000004</v>
      </c>
      <c r="J13" t="s">
        <v>148</v>
      </c>
      <c r="M13">
        <v>1540907</v>
      </c>
      <c r="P13">
        <v>7</v>
      </c>
      <c r="Q13" s="15">
        <v>44470</v>
      </c>
      <c r="R13">
        <v>12</v>
      </c>
      <c r="S13">
        <v>43</v>
      </c>
      <c r="U13">
        <v>2023</v>
      </c>
      <c r="V13">
        <v>12</v>
      </c>
      <c r="Y13" s="15">
        <v>33147</v>
      </c>
      <c r="Z13">
        <v>12</v>
      </c>
    </row>
    <row r="14" spans="1:26" x14ac:dyDescent="0.3">
      <c r="A14" s="79" t="s">
        <v>390</v>
      </c>
      <c r="B14" s="87" t="s">
        <v>216</v>
      </c>
      <c r="D14" s="4">
        <v>117070</v>
      </c>
      <c r="F14" s="14">
        <v>2498.4110000000001</v>
      </c>
      <c r="G14" s="59">
        <v>60.606999999999999</v>
      </c>
      <c r="H14" s="14">
        <f t="shared" si="3"/>
        <v>151421.195477</v>
      </c>
      <c r="I14" s="14">
        <f t="shared" si="4"/>
        <v>34351.195477000001</v>
      </c>
      <c r="J14" t="s">
        <v>148</v>
      </c>
      <c r="K14" s="3">
        <v>24530</v>
      </c>
      <c r="L14">
        <v>4578993</v>
      </c>
      <c r="M14" s="14">
        <f>SUM(H5:H7)</f>
        <v>586696.91626500001</v>
      </c>
      <c r="O14" s="49"/>
      <c r="P14">
        <v>8</v>
      </c>
      <c r="Q14" s="15">
        <v>44835</v>
      </c>
      <c r="R14">
        <v>13</v>
      </c>
      <c r="S14">
        <v>44</v>
      </c>
      <c r="U14">
        <v>2024</v>
      </c>
      <c r="V14">
        <v>13</v>
      </c>
      <c r="Y14" s="15">
        <v>33512</v>
      </c>
      <c r="Z14">
        <v>13</v>
      </c>
    </row>
    <row r="15" spans="1:26" x14ac:dyDescent="0.3">
      <c r="A15" s="79" t="s">
        <v>394</v>
      </c>
      <c r="B15" s="55" t="s">
        <v>217</v>
      </c>
      <c r="D15" s="100">
        <v>50000</v>
      </c>
      <c r="F15" s="14">
        <v>315.37099999999998</v>
      </c>
      <c r="G15" s="14">
        <v>183.9539</v>
      </c>
      <c r="H15" s="14">
        <f t="shared" si="3"/>
        <v>58013.725396900001</v>
      </c>
      <c r="I15" s="14">
        <f t="shared" si="4"/>
        <v>8013.7253969000012</v>
      </c>
      <c r="J15" t="s">
        <v>148</v>
      </c>
      <c r="L15" s="102">
        <f>SUM(H6:H19)</f>
        <v>1158845.2297349002</v>
      </c>
      <c r="M15">
        <f>SUM(M13:M14)</f>
        <v>2127603.9162650001</v>
      </c>
      <c r="P15">
        <v>9</v>
      </c>
      <c r="Q15" s="15">
        <v>45200</v>
      </c>
      <c r="R15">
        <v>14</v>
      </c>
      <c r="S15">
        <v>45</v>
      </c>
      <c r="U15">
        <v>2025</v>
      </c>
      <c r="V15">
        <v>14</v>
      </c>
      <c r="Y15" s="15">
        <v>33878</v>
      </c>
      <c r="Z15">
        <v>14</v>
      </c>
    </row>
    <row r="16" spans="1:26" x14ac:dyDescent="0.3">
      <c r="A16" s="79" t="s">
        <v>395</v>
      </c>
      <c r="B16" s="55" t="s">
        <v>296</v>
      </c>
      <c r="D16" s="100">
        <v>60000</v>
      </c>
      <c r="F16" s="14">
        <v>5107.1949999999997</v>
      </c>
      <c r="G16" s="14">
        <v>13.48</v>
      </c>
      <c r="H16" s="14">
        <f t="shared" si="3"/>
        <v>68844.988599999997</v>
      </c>
      <c r="I16" s="14">
        <f t="shared" si="4"/>
        <v>8844.9885999999969</v>
      </c>
      <c r="J16" t="s">
        <v>148</v>
      </c>
      <c r="L16">
        <v>660000</v>
      </c>
      <c r="M16" s="10"/>
      <c r="P16">
        <v>10</v>
      </c>
      <c r="Q16" s="15">
        <v>45566</v>
      </c>
      <c r="R16">
        <v>15</v>
      </c>
      <c r="S16">
        <v>46</v>
      </c>
      <c r="U16">
        <v>2026</v>
      </c>
      <c r="V16">
        <v>15</v>
      </c>
      <c r="Y16" s="15">
        <v>34243</v>
      </c>
      <c r="Z16">
        <v>15</v>
      </c>
    </row>
    <row r="17" spans="1:26" x14ac:dyDescent="0.3">
      <c r="A17" t="s">
        <v>387</v>
      </c>
      <c r="B17" s="55" t="s">
        <v>297</v>
      </c>
      <c r="D17" s="79">
        <v>60000</v>
      </c>
      <c r="F17" s="14">
        <v>2035.16</v>
      </c>
      <c r="G17" s="14">
        <v>36.841999999999999</v>
      </c>
      <c r="H17" s="14">
        <f t="shared" ref="H17:H22" si="5">F17*G17</f>
        <v>74979.364719999998</v>
      </c>
      <c r="I17" s="14">
        <f t="shared" ref="I17:I22" si="6">H17-D17</f>
        <v>14979.364719999998</v>
      </c>
      <c r="J17" t="s">
        <v>148</v>
      </c>
      <c r="K17" s="7">
        <v>43302</v>
      </c>
      <c r="N17">
        <v>-120000</v>
      </c>
      <c r="P17" t="s">
        <v>319</v>
      </c>
      <c r="Q17" s="15">
        <v>45931</v>
      </c>
      <c r="R17">
        <v>16</v>
      </c>
      <c r="S17">
        <v>47</v>
      </c>
      <c r="Y17" s="15">
        <v>34608</v>
      </c>
      <c r="Z17">
        <v>16</v>
      </c>
    </row>
    <row r="18" spans="1:26" x14ac:dyDescent="0.3">
      <c r="A18" s="79" t="s">
        <v>397</v>
      </c>
      <c r="B18" s="55" t="s">
        <v>298</v>
      </c>
      <c r="D18" s="100">
        <v>60000</v>
      </c>
      <c r="F18" s="14">
        <v>4927.1099999999997</v>
      </c>
      <c r="G18" s="14">
        <v>14.15</v>
      </c>
      <c r="H18">
        <f t="shared" si="5"/>
        <v>69718.606499999994</v>
      </c>
      <c r="I18" s="14">
        <f t="shared" si="6"/>
        <v>9718.6064999999944</v>
      </c>
      <c r="J18" t="s">
        <v>148</v>
      </c>
      <c r="M18">
        <v>887919</v>
      </c>
      <c r="P18" t="s">
        <v>320</v>
      </c>
      <c r="Q18" s="15">
        <v>46296</v>
      </c>
      <c r="R18">
        <v>17</v>
      </c>
      <c r="S18">
        <v>48</v>
      </c>
      <c r="Y18" s="15">
        <v>34973</v>
      </c>
      <c r="Z18">
        <v>17</v>
      </c>
    </row>
    <row r="19" spans="1:26" x14ac:dyDescent="0.3">
      <c r="A19" s="79" t="s">
        <v>396</v>
      </c>
      <c r="B19" s="55" t="s">
        <v>306</v>
      </c>
      <c r="C19" s="51"/>
      <c r="D19" s="100">
        <v>50000</v>
      </c>
      <c r="F19" s="14">
        <v>477.58</v>
      </c>
      <c r="G19" s="14">
        <v>120.21</v>
      </c>
      <c r="H19" s="14">
        <f t="shared" si="5"/>
        <v>57409.891799999998</v>
      </c>
      <c r="I19" s="14">
        <f t="shared" si="6"/>
        <v>7409.8917999999976</v>
      </c>
      <c r="J19" t="s">
        <v>148</v>
      </c>
      <c r="P19">
        <v>13</v>
      </c>
      <c r="Q19" s="15">
        <v>46661</v>
      </c>
      <c r="R19">
        <v>18</v>
      </c>
      <c r="S19">
        <v>49</v>
      </c>
      <c r="Y19" s="15">
        <v>35339</v>
      </c>
      <c r="Z19">
        <v>18</v>
      </c>
    </row>
    <row r="20" spans="1:26" x14ac:dyDescent="0.3">
      <c r="B20" s="55" t="s">
        <v>385</v>
      </c>
      <c r="D20" s="79">
        <v>630000</v>
      </c>
      <c r="F20" s="14">
        <v>23883.519</v>
      </c>
      <c r="G20" s="14">
        <v>27.9222</v>
      </c>
      <c r="H20">
        <f t="shared" si="5"/>
        <v>666880.39422180003</v>
      </c>
      <c r="I20" s="14">
        <f t="shared" si="6"/>
        <v>36880.39422180003</v>
      </c>
      <c r="P20">
        <v>14</v>
      </c>
      <c r="Q20" s="15">
        <v>47027</v>
      </c>
      <c r="R20">
        <v>19</v>
      </c>
      <c r="Y20" s="15"/>
    </row>
    <row r="21" spans="1:26" x14ac:dyDescent="0.3">
      <c r="B21" s="3" t="s">
        <v>16</v>
      </c>
      <c r="C21" t="s">
        <v>185</v>
      </c>
      <c r="D21">
        <v>144000</v>
      </c>
      <c r="F21" s="14">
        <v>2441.8409999999999</v>
      </c>
      <c r="G21" s="14">
        <v>60.255000000000003</v>
      </c>
      <c r="H21" s="14">
        <f t="shared" si="5"/>
        <v>147133.12945499999</v>
      </c>
      <c r="I21" s="14">
        <f t="shared" si="6"/>
        <v>3133.1294549999875</v>
      </c>
      <c r="P21">
        <v>15</v>
      </c>
      <c r="Q21" s="15">
        <v>47392</v>
      </c>
      <c r="R21">
        <v>20</v>
      </c>
      <c r="Y21" s="15"/>
    </row>
    <row r="22" spans="1:26" x14ac:dyDescent="0.3">
      <c r="A22">
        <v>1</v>
      </c>
      <c r="B22" s="3" t="s">
        <v>21</v>
      </c>
      <c r="C22" t="s">
        <v>185</v>
      </c>
      <c r="D22">
        <v>139353</v>
      </c>
      <c r="F22" s="14">
        <v>136.131</v>
      </c>
      <c r="G22" s="14">
        <v>1043.0163</v>
      </c>
      <c r="H22" s="14">
        <f t="shared" si="5"/>
        <v>141986.85193529999</v>
      </c>
      <c r="I22" s="14">
        <f t="shared" si="6"/>
        <v>2633.8519352999865</v>
      </c>
      <c r="J22" t="s">
        <v>92</v>
      </c>
      <c r="P22">
        <v>16</v>
      </c>
      <c r="Q22" s="15">
        <v>47757</v>
      </c>
      <c r="R22">
        <v>21</v>
      </c>
      <c r="Y22" s="15"/>
    </row>
    <row r="23" spans="1:26" x14ac:dyDescent="0.3">
      <c r="A23">
        <v>2</v>
      </c>
      <c r="D23" s="88"/>
      <c r="J23" t="s">
        <v>92</v>
      </c>
      <c r="Q23" s="15">
        <v>48122</v>
      </c>
      <c r="R23">
        <v>22</v>
      </c>
      <c r="S23">
        <v>50</v>
      </c>
      <c r="Y23" s="15">
        <v>35704</v>
      </c>
      <c r="Z23">
        <v>19</v>
      </c>
    </row>
    <row r="24" spans="1:26" x14ac:dyDescent="0.3">
      <c r="D24" s="4">
        <f>SUM(D6:D20)</f>
        <v>1555070</v>
      </c>
      <c r="H24" s="59">
        <f>SUM(H6:H20)</f>
        <v>1825725.6239567003</v>
      </c>
      <c r="I24" s="14">
        <f>SUM(I10:I20)</f>
        <v>168812.18915670004</v>
      </c>
      <c r="Q24" s="15">
        <v>48488</v>
      </c>
      <c r="R24">
        <v>23</v>
      </c>
      <c r="S24">
        <v>51</v>
      </c>
      <c r="Y24" s="15">
        <v>36069</v>
      </c>
      <c r="Z24">
        <v>20</v>
      </c>
    </row>
    <row r="25" spans="1:26" x14ac:dyDescent="0.3">
      <c r="J25">
        <v>122242</v>
      </c>
      <c r="K25">
        <v>39000</v>
      </c>
      <c r="L25">
        <v>30000</v>
      </c>
      <c r="Q25" s="15">
        <v>48853</v>
      </c>
      <c r="R25">
        <v>24</v>
      </c>
      <c r="S25">
        <v>52</v>
      </c>
      <c r="Y25" s="15">
        <v>36434</v>
      </c>
      <c r="Z25">
        <v>21</v>
      </c>
    </row>
    <row r="26" spans="1:26" x14ac:dyDescent="0.3">
      <c r="D26">
        <v>630000</v>
      </c>
      <c r="E26">
        <f>SUM(D24:D26)</f>
        <v>2185070</v>
      </c>
      <c r="G26" s="14">
        <f>I26-E26</f>
        <v>290757.62395670032</v>
      </c>
      <c r="H26">
        <v>650102</v>
      </c>
      <c r="I26" s="14">
        <f>SUM(H24:H26)</f>
        <v>2475827.6239567003</v>
      </c>
      <c r="S26">
        <v>53</v>
      </c>
      <c r="Y26" s="15">
        <v>36800</v>
      </c>
      <c r="Z26">
        <v>22</v>
      </c>
    </row>
    <row r="27" spans="1:26" x14ac:dyDescent="0.3">
      <c r="A27">
        <v>14</v>
      </c>
      <c r="B27" s="48" t="s">
        <v>41</v>
      </c>
      <c r="D27">
        <v>111900</v>
      </c>
      <c r="F27" s="14">
        <v>9038.2870000000003</v>
      </c>
      <c r="G27" s="14">
        <v>23.562000000000001</v>
      </c>
      <c r="H27" s="61">
        <f>F27*G27</f>
        <v>212960.11829400001</v>
      </c>
      <c r="I27" s="14">
        <f>H27-D27</f>
        <v>101060.11829400001</v>
      </c>
      <c r="K27" s="15">
        <v>42937</v>
      </c>
      <c r="L27" s="4" t="s">
        <v>286</v>
      </c>
      <c r="M27" s="14">
        <v>212960.11</v>
      </c>
      <c r="S27">
        <v>54</v>
      </c>
      <c r="Y27" s="15">
        <v>37165</v>
      </c>
      <c r="Z27">
        <v>23</v>
      </c>
    </row>
    <row r="28" spans="1:26" x14ac:dyDescent="0.3">
      <c r="K28" s="49">
        <v>225255</v>
      </c>
      <c r="N28" s="13">
        <v>1017.7453</v>
      </c>
      <c r="S28">
        <v>55</v>
      </c>
      <c r="U28" s="4"/>
      <c r="Y28" s="15">
        <v>37530</v>
      </c>
      <c r="Z28">
        <v>24</v>
      </c>
    </row>
    <row r="29" spans="1:26" x14ac:dyDescent="0.3">
      <c r="K29" s="49">
        <v>286854</v>
      </c>
      <c r="U29" s="4"/>
      <c r="Y29" s="15">
        <v>37895</v>
      </c>
      <c r="Z29">
        <v>25</v>
      </c>
    </row>
    <row r="30" spans="1:26" x14ac:dyDescent="0.3">
      <c r="A30">
        <v>3</v>
      </c>
      <c r="B30" s="64" t="s">
        <v>191</v>
      </c>
      <c r="D30">
        <v>135000</v>
      </c>
      <c r="F30" s="14">
        <v>288.166</v>
      </c>
      <c r="G30" s="14">
        <v>475.0881</v>
      </c>
      <c r="H30" s="65">
        <f t="shared" ref="H30:H35" si="7">F30*G30</f>
        <v>136904.2374246</v>
      </c>
      <c r="I30" s="14">
        <f t="shared" ref="I30:I35" si="8">H30-D30</f>
        <v>1904.2374245999963</v>
      </c>
      <c r="J30" t="s">
        <v>92</v>
      </c>
      <c r="N30" t="s">
        <v>243</v>
      </c>
      <c r="O30" s="14">
        <f>SUM(H27,K28,K29)</f>
        <v>725069.11829400004</v>
      </c>
      <c r="U30" s="4"/>
      <c r="Y30" s="15">
        <v>38261</v>
      </c>
      <c r="Z30">
        <v>26</v>
      </c>
    </row>
    <row r="31" spans="1:26" x14ac:dyDescent="0.3">
      <c r="A31" s="4">
        <v>4</v>
      </c>
      <c r="B31" s="63" t="s">
        <v>20</v>
      </c>
      <c r="C31" s="4"/>
      <c r="D31" s="4">
        <v>263398</v>
      </c>
      <c r="E31" s="4"/>
      <c r="F31" s="59">
        <v>10301.415999999999</v>
      </c>
      <c r="G31" s="59">
        <v>27.8889</v>
      </c>
      <c r="H31" s="60">
        <f t="shared" si="7"/>
        <v>287295.16068239999</v>
      </c>
      <c r="I31" s="59">
        <f t="shared" si="8"/>
        <v>23897.16068239999</v>
      </c>
      <c r="J31" s="4" t="s">
        <v>93</v>
      </c>
      <c r="L31" s="4" t="s">
        <v>286</v>
      </c>
      <c r="M31" s="14">
        <v>287292.28999999998</v>
      </c>
      <c r="N31" t="s">
        <v>242</v>
      </c>
      <c r="O31" s="3">
        <f>SUM(K14,K32,K33,K34,M33)</f>
        <v>2069734</v>
      </c>
      <c r="U31" s="4"/>
      <c r="Y31" s="15">
        <v>38626</v>
      </c>
      <c r="Z31">
        <v>27</v>
      </c>
    </row>
    <row r="32" spans="1:26" x14ac:dyDescent="0.3">
      <c r="A32" s="4">
        <v>5</v>
      </c>
      <c r="B32" s="63" t="s">
        <v>180</v>
      </c>
      <c r="C32" s="4" t="s">
        <v>214</v>
      </c>
      <c r="D32" s="4">
        <v>135000</v>
      </c>
      <c r="E32" s="4"/>
      <c r="F32" s="59">
        <v>2766.3629999999998</v>
      </c>
      <c r="G32" s="59">
        <v>53.926000000000002</v>
      </c>
      <c r="H32" s="60">
        <f t="shared" si="7"/>
        <v>149178.89113800001</v>
      </c>
      <c r="I32" s="59">
        <f t="shared" si="8"/>
        <v>14178.891138000006</v>
      </c>
      <c r="J32" s="4" t="s">
        <v>104</v>
      </c>
      <c r="K32" s="62">
        <v>281087</v>
      </c>
      <c r="L32" t="s">
        <v>287</v>
      </c>
      <c r="M32">
        <v>151083.41</v>
      </c>
      <c r="Y32" s="15">
        <v>38991</v>
      </c>
      <c r="Z32">
        <v>28</v>
      </c>
    </row>
    <row r="33" spans="1:28" x14ac:dyDescent="0.3">
      <c r="A33">
        <v>6</v>
      </c>
      <c r="B33" s="64" t="s">
        <v>100</v>
      </c>
      <c r="C33" t="s">
        <v>214</v>
      </c>
      <c r="D33">
        <v>177000</v>
      </c>
      <c r="F33" s="14">
        <v>3352.1790000000001</v>
      </c>
      <c r="G33" s="14">
        <v>52.953000000000003</v>
      </c>
      <c r="H33" s="65">
        <f>F33*G33</f>
        <v>177507.93458700003</v>
      </c>
      <c r="I33" s="14">
        <f t="shared" si="8"/>
        <v>507.9345870000252</v>
      </c>
      <c r="J33" t="s">
        <v>104</v>
      </c>
      <c r="K33" s="3">
        <v>1595402</v>
      </c>
      <c r="N33">
        <v>982035</v>
      </c>
      <c r="Y33" s="15">
        <v>39356</v>
      </c>
      <c r="Z33">
        <v>29</v>
      </c>
    </row>
    <row r="34" spans="1:28" x14ac:dyDescent="0.3">
      <c r="A34" s="4">
        <v>7</v>
      </c>
      <c r="B34" s="63" t="s">
        <v>120</v>
      </c>
      <c r="C34" s="4" t="s">
        <v>104</v>
      </c>
      <c r="D34" s="4">
        <v>120000</v>
      </c>
      <c r="E34" s="4"/>
      <c r="F34" s="59">
        <v>652.04</v>
      </c>
      <c r="G34" s="59">
        <v>225.46</v>
      </c>
      <c r="H34" s="59">
        <f t="shared" si="7"/>
        <v>147008.93839999998</v>
      </c>
      <c r="I34" s="59">
        <f t="shared" si="8"/>
        <v>27008.938399999985</v>
      </c>
      <c r="J34" s="4" t="s">
        <v>104</v>
      </c>
      <c r="K34" s="3">
        <v>168715</v>
      </c>
      <c r="L34" t="s">
        <v>287</v>
      </c>
      <c r="M34" s="14">
        <v>154935.48000000001</v>
      </c>
      <c r="N34">
        <v>400000</v>
      </c>
      <c r="O34">
        <v>154935.48000000001</v>
      </c>
      <c r="U34" s="4"/>
      <c r="Y34" s="15">
        <v>39722</v>
      </c>
      <c r="Z34">
        <v>30</v>
      </c>
    </row>
    <row r="35" spans="1:28" x14ac:dyDescent="0.3">
      <c r="A35" s="4">
        <v>8</v>
      </c>
      <c r="B35" s="63" t="s">
        <v>182</v>
      </c>
      <c r="C35" s="4" t="s">
        <v>104</v>
      </c>
      <c r="D35" s="4">
        <v>15000</v>
      </c>
      <c r="E35" s="4"/>
      <c r="F35" s="59">
        <v>32.558</v>
      </c>
      <c r="G35" s="59">
        <v>472.50810000000001</v>
      </c>
      <c r="H35" s="60">
        <f t="shared" si="7"/>
        <v>15383.9187198</v>
      </c>
      <c r="I35" s="59">
        <f t="shared" si="8"/>
        <v>383.91871979999996</v>
      </c>
      <c r="J35" s="4" t="s">
        <v>104</v>
      </c>
      <c r="L35" s="4" t="s">
        <v>286</v>
      </c>
      <c r="M35">
        <v>15383.92</v>
      </c>
      <c r="N35">
        <f>SUM(N33:N34)</f>
        <v>1382035</v>
      </c>
      <c r="Y35" s="15">
        <v>40087</v>
      </c>
      <c r="Z35">
        <v>31</v>
      </c>
    </row>
    <row r="36" spans="1:28" x14ac:dyDescent="0.3">
      <c r="I36">
        <f>SUM(I2:I35)</f>
        <v>3200516.9891872006</v>
      </c>
      <c r="X36">
        <v>1</v>
      </c>
      <c r="Y36" s="15">
        <v>40452</v>
      </c>
      <c r="Z36">
        <v>32</v>
      </c>
    </row>
    <row r="37" spans="1:28" x14ac:dyDescent="0.3">
      <c r="K37" s="3">
        <f>SUM(D21:D35)</f>
        <v>3425721</v>
      </c>
      <c r="N37">
        <v>5000000</v>
      </c>
      <c r="O37" s="12">
        <f>SUM(H38,K34,K33,K32,K29,K28,K14,O14)</f>
        <v>8895268.8000304997</v>
      </c>
      <c r="P37">
        <f>N37-O37</f>
        <v>-3895268.8000304997</v>
      </c>
      <c r="X37">
        <v>2</v>
      </c>
      <c r="Y37" s="15">
        <v>40817</v>
      </c>
      <c r="Z37">
        <v>33</v>
      </c>
    </row>
    <row r="38" spans="1:28" x14ac:dyDescent="0.3">
      <c r="D38">
        <f>SUM(D6:D35)</f>
        <v>4980791</v>
      </c>
      <c r="H38">
        <f>SUM(H2:H35)</f>
        <v>6313425.8000305006</v>
      </c>
      <c r="X38">
        <v>3</v>
      </c>
      <c r="Y38" s="15">
        <v>41183</v>
      </c>
      <c r="Z38">
        <v>34</v>
      </c>
    </row>
    <row r="39" spans="1:28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X39">
        <v>4</v>
      </c>
      <c r="Y39" s="15">
        <v>41548</v>
      </c>
      <c r="Z39">
        <v>35</v>
      </c>
    </row>
    <row r="40" spans="1:28" x14ac:dyDescent="0.3">
      <c r="A40">
        <v>8</v>
      </c>
      <c r="B40" s="38" t="s">
        <v>186</v>
      </c>
      <c r="D40">
        <v>10000</v>
      </c>
      <c r="F40" s="14">
        <v>795.86099999999999</v>
      </c>
      <c r="G40" s="14">
        <v>13.3</v>
      </c>
      <c r="H40" s="14">
        <f t="shared" ref="H40:H49" si="9">F40*G40</f>
        <v>10584.951300000001</v>
      </c>
      <c r="I40" s="14">
        <f>H40-D40</f>
        <v>584.95130000000063</v>
      </c>
      <c r="L40" t="s">
        <v>198</v>
      </c>
      <c r="N40" t="s">
        <v>199</v>
      </c>
      <c r="X40">
        <v>5</v>
      </c>
      <c r="Y40" s="15">
        <v>41913</v>
      </c>
      <c r="Z40">
        <v>36</v>
      </c>
    </row>
    <row r="41" spans="1:28" x14ac:dyDescent="0.3">
      <c r="A41">
        <v>2</v>
      </c>
      <c r="B41" s="38" t="s">
        <v>19</v>
      </c>
      <c r="D41">
        <v>65000</v>
      </c>
      <c r="F41" s="14">
        <v>663.95100000000002</v>
      </c>
      <c r="G41" s="14">
        <v>100.34</v>
      </c>
      <c r="H41" s="14">
        <f t="shared" si="9"/>
        <v>66620.843340000007</v>
      </c>
      <c r="I41" s="14">
        <f t="shared" ref="I41:I46" si="10">H41-D41</f>
        <v>1620.8433400000067</v>
      </c>
      <c r="J41" t="s">
        <v>92</v>
      </c>
      <c r="L41" t="s">
        <v>181</v>
      </c>
      <c r="X41">
        <v>6</v>
      </c>
      <c r="Y41" s="15">
        <v>42278</v>
      </c>
      <c r="Z41">
        <v>37</v>
      </c>
    </row>
    <row r="42" spans="1:28" x14ac:dyDescent="0.3">
      <c r="A42">
        <v>6</v>
      </c>
      <c r="B42" s="38" t="s">
        <v>2</v>
      </c>
      <c r="D42">
        <v>174305</v>
      </c>
      <c r="F42" s="14">
        <v>3898.2660000000001</v>
      </c>
      <c r="G42" s="14">
        <v>52.804000000000002</v>
      </c>
      <c r="H42" s="14">
        <f t="shared" si="9"/>
        <v>205844.03786400001</v>
      </c>
      <c r="I42" s="14">
        <f t="shared" si="10"/>
        <v>31539.037864000013</v>
      </c>
      <c r="J42" t="s">
        <v>93</v>
      </c>
      <c r="K42" s="3">
        <v>47597</v>
      </c>
      <c r="L42" t="s">
        <v>181</v>
      </c>
      <c r="X42">
        <v>7</v>
      </c>
      <c r="Y42" s="15">
        <v>42644</v>
      </c>
      <c r="Z42">
        <v>38</v>
      </c>
    </row>
    <row r="43" spans="1:28" x14ac:dyDescent="0.3">
      <c r="B43" t="s">
        <v>1</v>
      </c>
      <c r="C43" t="s">
        <v>5</v>
      </c>
      <c r="D43">
        <v>118000</v>
      </c>
      <c r="F43">
        <v>6217.8019999999997</v>
      </c>
      <c r="G43">
        <v>28.7</v>
      </c>
      <c r="H43" s="3">
        <f t="shared" si="9"/>
        <v>178450.91739999998</v>
      </c>
      <c r="I43">
        <f t="shared" si="10"/>
        <v>60450.917399999977</v>
      </c>
      <c r="J43" s="8"/>
      <c r="X43">
        <v>8</v>
      </c>
      <c r="Y43" s="15">
        <v>43009</v>
      </c>
      <c r="Z43">
        <v>39</v>
      </c>
    </row>
    <row r="44" spans="1:28" x14ac:dyDescent="0.3">
      <c r="A44" t="s">
        <v>119</v>
      </c>
      <c r="B44" t="s">
        <v>4</v>
      </c>
      <c r="C44" t="s">
        <v>5</v>
      </c>
      <c r="D44">
        <v>50000</v>
      </c>
      <c r="F44">
        <v>1164.8800000000001</v>
      </c>
      <c r="G44">
        <v>55.31</v>
      </c>
      <c r="H44" s="3">
        <f t="shared" si="9"/>
        <v>64429.512800000011</v>
      </c>
      <c r="I44">
        <f t="shared" si="10"/>
        <v>14429.512800000011</v>
      </c>
      <c r="J44" s="226" t="s">
        <v>123</v>
      </c>
      <c r="K44" s="226"/>
      <c r="L44" s="226"/>
      <c r="M44" s="226"/>
      <c r="N44" s="226"/>
      <c r="X44">
        <v>9</v>
      </c>
      <c r="Y44" s="15">
        <v>43374</v>
      </c>
      <c r="Z44">
        <v>40</v>
      </c>
    </row>
    <row r="45" spans="1:28" x14ac:dyDescent="0.3">
      <c r="B45" t="s">
        <v>0</v>
      </c>
      <c r="C45" t="s">
        <v>5</v>
      </c>
      <c r="D45">
        <v>41000</v>
      </c>
      <c r="F45">
        <v>66.965000000000003</v>
      </c>
      <c r="G45">
        <v>770.18</v>
      </c>
      <c r="H45" s="3">
        <f t="shared" si="9"/>
        <v>51575.1037</v>
      </c>
      <c r="I45">
        <f t="shared" si="10"/>
        <v>10575.1037</v>
      </c>
      <c r="X45">
        <v>10</v>
      </c>
      <c r="Y45" s="15">
        <v>43739</v>
      </c>
      <c r="Z45">
        <v>41</v>
      </c>
    </row>
    <row r="46" spans="1:28" x14ac:dyDescent="0.3">
      <c r="A46" t="s">
        <v>122</v>
      </c>
      <c r="B46" t="s">
        <v>3</v>
      </c>
      <c r="C46" t="s">
        <v>5</v>
      </c>
      <c r="D46">
        <v>8000</v>
      </c>
      <c r="F46">
        <v>394.17500000000001</v>
      </c>
      <c r="G46">
        <v>30.1496</v>
      </c>
      <c r="H46">
        <f t="shared" si="9"/>
        <v>11884.218580000001</v>
      </c>
      <c r="I46">
        <f t="shared" si="10"/>
        <v>3884.2185800000007</v>
      </c>
      <c r="N46">
        <v>154935.48000000001</v>
      </c>
      <c r="T46" s="2"/>
      <c r="U46" s="2"/>
      <c r="X46">
        <v>11</v>
      </c>
      <c r="Y46" s="15">
        <v>44105</v>
      </c>
      <c r="Z46">
        <v>42</v>
      </c>
      <c r="AA46">
        <v>1</v>
      </c>
      <c r="AB46" t="s">
        <v>249</v>
      </c>
    </row>
    <row r="47" spans="1:28" x14ac:dyDescent="0.3">
      <c r="B47" s="38" t="s">
        <v>13</v>
      </c>
      <c r="C47" t="s">
        <v>5</v>
      </c>
      <c r="D47">
        <v>60168</v>
      </c>
      <c r="F47" s="14">
        <v>6016.8</v>
      </c>
      <c r="G47" s="14">
        <v>10.9497</v>
      </c>
      <c r="H47" s="14">
        <f t="shared" si="9"/>
        <v>65882.15496</v>
      </c>
      <c r="I47" s="14">
        <f>H47-D47</f>
        <v>5714.1549599999998</v>
      </c>
      <c r="N47">
        <f>N46/F34</f>
        <v>237.61652659346055</v>
      </c>
      <c r="T47" s="39"/>
      <c r="U47" s="39"/>
      <c r="X47">
        <v>12</v>
      </c>
      <c r="Y47" s="15">
        <v>44470</v>
      </c>
      <c r="Z47">
        <v>43</v>
      </c>
      <c r="AA47">
        <v>2</v>
      </c>
      <c r="AB47" t="s">
        <v>249</v>
      </c>
    </row>
    <row r="48" spans="1:28" x14ac:dyDescent="0.3">
      <c r="A48">
        <v>7</v>
      </c>
      <c r="B48" s="38" t="s">
        <v>14</v>
      </c>
      <c r="D48">
        <v>99000</v>
      </c>
      <c r="F48" s="14">
        <v>195.00399999999999</v>
      </c>
      <c r="G48" s="14">
        <v>518.15300000000002</v>
      </c>
      <c r="H48" s="14">
        <f t="shared" si="9"/>
        <v>101041.907612</v>
      </c>
      <c r="I48" s="14">
        <f>H48-D48</f>
        <v>2041.9076119999954</v>
      </c>
      <c r="T48" s="41"/>
      <c r="U48" s="41"/>
      <c r="X48">
        <v>13</v>
      </c>
      <c r="Y48" s="15">
        <v>44835</v>
      </c>
      <c r="Z48">
        <v>44</v>
      </c>
      <c r="AA48">
        <v>3</v>
      </c>
      <c r="AB48" t="s">
        <v>249</v>
      </c>
    </row>
    <row r="49" spans="2:28" x14ac:dyDescent="0.3">
      <c r="B49" s="38" t="s">
        <v>0</v>
      </c>
      <c r="C49" t="s">
        <v>5</v>
      </c>
      <c r="D49">
        <v>6000</v>
      </c>
      <c r="F49" s="14">
        <v>8.9689999999999994</v>
      </c>
      <c r="G49" s="14">
        <v>751.44</v>
      </c>
      <c r="H49" s="14">
        <f t="shared" si="9"/>
        <v>6739.66536</v>
      </c>
      <c r="I49" s="14">
        <f>H49-D49</f>
        <v>739.66535999999996</v>
      </c>
      <c r="T49" s="41"/>
      <c r="U49" s="41"/>
      <c r="X49">
        <v>14</v>
      </c>
      <c r="Y49" s="15">
        <v>45200</v>
      </c>
      <c r="Z49">
        <v>45</v>
      </c>
      <c r="AA49">
        <v>4</v>
      </c>
      <c r="AB49" t="s">
        <v>250</v>
      </c>
    </row>
    <row r="50" spans="2:28" x14ac:dyDescent="0.3">
      <c r="B50" t="s">
        <v>102</v>
      </c>
      <c r="T50" s="41"/>
      <c r="U50" s="41"/>
      <c r="X50">
        <v>15</v>
      </c>
      <c r="Y50" s="15">
        <v>45566</v>
      </c>
      <c r="Z50">
        <v>46</v>
      </c>
      <c r="AA50">
        <v>5</v>
      </c>
      <c r="AB50" t="s">
        <v>250</v>
      </c>
    </row>
    <row r="51" spans="2:28" x14ac:dyDescent="0.3">
      <c r="T51" s="42"/>
      <c r="U51" s="42"/>
      <c r="V51" s="40"/>
      <c r="W51" s="40"/>
      <c r="X51">
        <v>16</v>
      </c>
      <c r="Y51" s="15">
        <v>45931</v>
      </c>
      <c r="Z51">
        <v>47</v>
      </c>
      <c r="AA51">
        <v>6</v>
      </c>
      <c r="AB51" t="s">
        <v>250</v>
      </c>
    </row>
    <row r="52" spans="2:28" x14ac:dyDescent="0.3">
      <c r="B52" t="s">
        <v>103</v>
      </c>
      <c r="K52">
        <v>115118</v>
      </c>
      <c r="X52">
        <v>17</v>
      </c>
      <c r="Y52" s="15">
        <v>46296</v>
      </c>
      <c r="Z52">
        <v>48</v>
      </c>
      <c r="AA52">
        <v>7</v>
      </c>
      <c r="AB52" t="s">
        <v>250</v>
      </c>
    </row>
    <row r="53" spans="2:28" x14ac:dyDescent="0.3">
      <c r="J53" t="s">
        <v>113</v>
      </c>
      <c r="K53">
        <v>13398</v>
      </c>
      <c r="X53">
        <v>18</v>
      </c>
      <c r="Y53" s="15">
        <v>46661</v>
      </c>
      <c r="Z53">
        <v>49</v>
      </c>
      <c r="AA53">
        <v>8</v>
      </c>
      <c r="AB53" t="s">
        <v>250</v>
      </c>
    </row>
    <row r="54" spans="2:28" x14ac:dyDescent="0.3">
      <c r="J54" t="s">
        <v>190</v>
      </c>
      <c r="K54">
        <v>1250</v>
      </c>
      <c r="X54">
        <v>19</v>
      </c>
      <c r="Y54" s="15">
        <v>47027</v>
      </c>
      <c r="Z54">
        <v>50</v>
      </c>
      <c r="AA54">
        <v>9</v>
      </c>
      <c r="AB54" t="s">
        <v>250</v>
      </c>
    </row>
    <row r="55" spans="2:28" x14ac:dyDescent="0.3">
      <c r="X55">
        <v>20</v>
      </c>
      <c r="Y55" s="15">
        <v>47392</v>
      </c>
      <c r="Z55">
        <v>51</v>
      </c>
      <c r="AA55">
        <v>10</v>
      </c>
      <c r="AB55" t="s">
        <v>250</v>
      </c>
    </row>
    <row r="56" spans="2:28" x14ac:dyDescent="0.3">
      <c r="X56">
        <v>21</v>
      </c>
      <c r="Y56" s="15">
        <v>47757</v>
      </c>
      <c r="Z56">
        <v>52</v>
      </c>
      <c r="AA56">
        <v>11</v>
      </c>
      <c r="AB56" t="s">
        <v>250</v>
      </c>
    </row>
    <row r="57" spans="2:28" x14ac:dyDescent="0.3">
      <c r="X57">
        <v>22</v>
      </c>
      <c r="Y57" s="15">
        <v>48122</v>
      </c>
      <c r="Z57">
        <v>53</v>
      </c>
      <c r="AA57">
        <v>12</v>
      </c>
      <c r="AB57" t="s">
        <v>250</v>
      </c>
    </row>
    <row r="58" spans="2:28" x14ac:dyDescent="0.3">
      <c r="X58">
        <v>23</v>
      </c>
      <c r="Y58" s="15">
        <v>48488</v>
      </c>
      <c r="Z58">
        <v>54</v>
      </c>
      <c r="AA58">
        <v>13</v>
      </c>
      <c r="AB58" t="s">
        <v>250</v>
      </c>
    </row>
    <row r="59" spans="2:28" x14ac:dyDescent="0.3">
      <c r="X59">
        <v>24</v>
      </c>
      <c r="Y59" s="15">
        <v>48853</v>
      </c>
      <c r="Z59">
        <v>55</v>
      </c>
      <c r="AA59">
        <v>14</v>
      </c>
      <c r="AB59" t="s">
        <v>251</v>
      </c>
    </row>
    <row r="60" spans="2:28" x14ac:dyDescent="0.3">
      <c r="X60">
        <v>25</v>
      </c>
      <c r="Y60" s="15">
        <v>49218</v>
      </c>
      <c r="Z60">
        <v>56</v>
      </c>
      <c r="AA60">
        <v>15</v>
      </c>
      <c r="AB60" t="s">
        <v>251</v>
      </c>
    </row>
    <row r="61" spans="2:28" x14ac:dyDescent="0.3">
      <c r="X61">
        <v>26</v>
      </c>
      <c r="Y61" s="15">
        <v>49583</v>
      </c>
      <c r="Z61">
        <v>57</v>
      </c>
      <c r="AA61">
        <v>16</v>
      </c>
      <c r="AB61" t="s">
        <v>251</v>
      </c>
    </row>
    <row r="62" spans="2:28" x14ac:dyDescent="0.3">
      <c r="Y62" s="15">
        <v>49949</v>
      </c>
    </row>
    <row r="63" spans="2:28" x14ac:dyDescent="0.3">
      <c r="Y63" s="15">
        <v>50314</v>
      </c>
    </row>
    <row r="64" spans="2:28" x14ac:dyDescent="0.3">
      <c r="Y64" s="15">
        <v>50679</v>
      </c>
    </row>
    <row r="65" spans="2:25" x14ac:dyDescent="0.3">
      <c r="Y65" s="15">
        <v>51044</v>
      </c>
    </row>
    <row r="73" spans="2:25" x14ac:dyDescent="0.3">
      <c r="B73" s="6"/>
    </row>
  </sheetData>
  <mergeCells count="3">
    <mergeCell ref="J44:N44"/>
    <mergeCell ref="Q1:R1"/>
    <mergeCell ref="U1:V1"/>
  </mergeCells>
  <hyperlinks>
    <hyperlink ref="B14" location="Balanced!A156" display="Reliance Equity Hybrid Fund" xr:uid="{00000000-0004-0000-0000-000000000000}"/>
    <hyperlink ref="B13" location="Balanced!A172" display="Principal Hybrid Equity Direct-G" xr:uid="{00000000-0004-0000-0000-000001000000}"/>
  </hyperlink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26"/>
  <sheetViews>
    <sheetView topLeftCell="A81" zoomScaleNormal="100" workbookViewId="0">
      <selection activeCell="A204" sqref="A204:H206"/>
    </sheetView>
  </sheetViews>
  <sheetFormatPr defaultRowHeight="14.4" x14ac:dyDescent="0.3"/>
  <cols>
    <col min="1" max="1" width="11.6640625" bestFit="1" customWidth="1"/>
    <col min="2" max="2" width="11.5546875" bestFit="1" customWidth="1"/>
    <col min="4" max="4" width="11" bestFit="1" customWidth="1"/>
    <col min="5" max="5" width="11.5546875" bestFit="1" customWidth="1"/>
    <col min="6" max="6" width="12" bestFit="1" customWidth="1"/>
    <col min="7" max="7" width="12.6640625" bestFit="1" customWidth="1"/>
    <col min="8" max="8" width="9.21875" bestFit="1" customWidth="1"/>
    <col min="9" max="9" width="10.77734375" bestFit="1" customWidth="1"/>
    <col min="10" max="10" width="12" bestFit="1" customWidth="1"/>
    <col min="12" max="12" width="9.77734375" bestFit="1" customWidth="1"/>
    <col min="13" max="13" width="16.109375" bestFit="1" customWidth="1"/>
    <col min="20" max="20" width="9.77734375" bestFit="1" customWidth="1"/>
  </cols>
  <sheetData>
    <row r="1" spans="1:20" x14ac:dyDescent="0.3">
      <c r="A1" s="228" t="s">
        <v>161</v>
      </c>
      <c r="B1" s="228"/>
      <c r="C1" s="228"/>
      <c r="D1" s="228"/>
      <c r="E1" s="228"/>
      <c r="F1" s="228"/>
      <c r="I1" s="86"/>
      <c r="L1" s="76" t="s">
        <v>334</v>
      </c>
      <c r="M1">
        <v>59558.080000000002</v>
      </c>
      <c r="O1">
        <v>24438.61</v>
      </c>
    </row>
    <row r="2" spans="1:20" x14ac:dyDescent="0.3">
      <c r="B2" s="4" t="s">
        <v>147</v>
      </c>
      <c r="C2" s="4" t="s">
        <v>148</v>
      </c>
      <c r="D2" s="4" t="s">
        <v>149</v>
      </c>
      <c r="E2" s="4" t="s">
        <v>150</v>
      </c>
      <c r="F2" s="4" t="s">
        <v>151</v>
      </c>
      <c r="L2" t="s">
        <v>335</v>
      </c>
      <c r="M2">
        <v>82292.98</v>
      </c>
    </row>
    <row r="3" spans="1:20" x14ac:dyDescent="0.3">
      <c r="A3" s="15" t="s">
        <v>162</v>
      </c>
      <c r="B3" s="74">
        <v>1000</v>
      </c>
      <c r="C3" s="21">
        <v>711.77</v>
      </c>
      <c r="D3" s="21">
        <v>1.405</v>
      </c>
      <c r="E3" s="14">
        <f>MF_Summary!G6</f>
        <v>996.8</v>
      </c>
      <c r="F3" s="21">
        <f>D3*E3</f>
        <v>1400.5039999999999</v>
      </c>
      <c r="G3" s="13">
        <f>F3-B3</f>
        <v>400.50399999999991</v>
      </c>
      <c r="H3" s="15">
        <v>44244</v>
      </c>
      <c r="I3" s="15"/>
      <c r="L3" t="s">
        <v>294</v>
      </c>
      <c r="M3">
        <v>59952.31</v>
      </c>
      <c r="N3">
        <v>60558</v>
      </c>
    </row>
    <row r="4" spans="1:20" x14ac:dyDescent="0.3">
      <c r="A4" s="15" t="s">
        <v>163</v>
      </c>
      <c r="B4" s="74">
        <v>10000</v>
      </c>
      <c r="C4" s="21">
        <v>740.76</v>
      </c>
      <c r="D4" s="21">
        <v>13.5</v>
      </c>
      <c r="E4" s="14">
        <f>MF_Summary!G6</f>
        <v>996.8</v>
      </c>
      <c r="F4" s="21">
        <f t="shared" ref="F4:F13" si="0">D4*E4</f>
        <v>13456.8</v>
      </c>
      <c r="G4" s="13">
        <f t="shared" ref="G4:G13" si="1">F4-B4</f>
        <v>3456.7999999999993</v>
      </c>
      <c r="H4" s="15">
        <v>44244</v>
      </c>
      <c r="I4" s="15"/>
      <c r="L4" t="s">
        <v>23</v>
      </c>
      <c r="M4">
        <v>173965.45</v>
      </c>
    </row>
    <row r="5" spans="1:20" x14ac:dyDescent="0.3">
      <c r="A5" s="15" t="s">
        <v>164</v>
      </c>
      <c r="B5" s="74">
        <v>47348.12</v>
      </c>
      <c r="C5" s="21">
        <v>755.84</v>
      </c>
      <c r="D5" s="21">
        <v>62.642000000000003</v>
      </c>
      <c r="E5" s="14">
        <f>MF_Summary!G6</f>
        <v>996.8</v>
      </c>
      <c r="F5" s="21">
        <f t="shared" si="0"/>
        <v>62441.545599999998</v>
      </c>
      <c r="G5" s="13">
        <f t="shared" si="1"/>
        <v>15093.425599999995</v>
      </c>
      <c r="H5" s="15">
        <v>44244</v>
      </c>
      <c r="I5" s="15"/>
      <c r="L5" t="s">
        <v>336</v>
      </c>
      <c r="M5">
        <v>71119.8</v>
      </c>
    </row>
    <row r="6" spans="1:20" x14ac:dyDescent="0.3">
      <c r="A6" s="15" t="s">
        <v>165</v>
      </c>
      <c r="B6" s="74">
        <v>5000</v>
      </c>
      <c r="C6" s="21">
        <v>762.06</v>
      </c>
      <c r="D6" s="21">
        <v>6.5609999999999999</v>
      </c>
      <c r="E6" s="14">
        <f>MF_Summary!G6</f>
        <v>996.8</v>
      </c>
      <c r="F6" s="21">
        <f t="shared" si="0"/>
        <v>6540.0047999999997</v>
      </c>
      <c r="G6" s="13">
        <f t="shared" si="1"/>
        <v>1540.0047999999997</v>
      </c>
      <c r="H6" s="15">
        <v>44244</v>
      </c>
      <c r="I6" s="15"/>
      <c r="M6" s="14"/>
    </row>
    <row r="7" spans="1:20" x14ac:dyDescent="0.3">
      <c r="A7" s="15" t="s">
        <v>166</v>
      </c>
      <c r="B7" s="74">
        <v>10454.280000000001</v>
      </c>
      <c r="C7" s="21">
        <v>763.31</v>
      </c>
      <c r="D7" s="21">
        <v>13.696</v>
      </c>
      <c r="E7" s="14">
        <f>MF_Summary!G6</f>
        <v>996.8</v>
      </c>
      <c r="F7" s="21">
        <f t="shared" si="0"/>
        <v>13652.172799999998</v>
      </c>
      <c r="G7" s="13">
        <f t="shared" si="1"/>
        <v>3197.8927999999978</v>
      </c>
      <c r="H7" s="15">
        <v>44244</v>
      </c>
      <c r="I7" s="15"/>
      <c r="L7">
        <v>6233000</v>
      </c>
    </row>
    <row r="8" spans="1:20" x14ac:dyDescent="0.3">
      <c r="A8" s="15" t="s">
        <v>166</v>
      </c>
      <c r="B8" s="74">
        <v>20000</v>
      </c>
      <c r="C8" s="21">
        <v>763.31</v>
      </c>
      <c r="D8" s="21">
        <v>26.202000000000002</v>
      </c>
      <c r="E8" s="14">
        <f>MF_Summary!G6</f>
        <v>996.8</v>
      </c>
      <c r="F8" s="21">
        <f t="shared" si="0"/>
        <v>26118.153600000001</v>
      </c>
      <c r="G8" s="13">
        <f t="shared" si="1"/>
        <v>6118.1536000000015</v>
      </c>
      <c r="H8" s="15">
        <v>44244</v>
      </c>
      <c r="I8">
        <v>2390921</v>
      </c>
      <c r="J8">
        <v>1500000</v>
      </c>
      <c r="K8">
        <v>1370000</v>
      </c>
      <c r="L8">
        <v>4145909</v>
      </c>
      <c r="M8" s="76">
        <f>SUM(M1:M6)</f>
        <v>446888.62</v>
      </c>
      <c r="N8">
        <v>650000</v>
      </c>
      <c r="O8">
        <v>680000</v>
      </c>
    </row>
    <row r="9" spans="1:20" x14ac:dyDescent="0.3">
      <c r="A9" s="15" t="s">
        <v>167</v>
      </c>
      <c r="B9" s="74">
        <v>1143.3900000000001</v>
      </c>
      <c r="C9" s="21">
        <v>760.29</v>
      </c>
      <c r="D9" s="21">
        <v>1.504</v>
      </c>
      <c r="E9" s="14">
        <f>MF_Summary!G6</f>
        <v>996.8</v>
      </c>
      <c r="F9" s="21">
        <f t="shared" si="0"/>
        <v>1499.1871999999998</v>
      </c>
      <c r="G9" s="13">
        <f t="shared" si="1"/>
        <v>355.79719999999975</v>
      </c>
      <c r="H9" s="15">
        <v>44244</v>
      </c>
      <c r="I9" s="15"/>
    </row>
    <row r="10" spans="1:20" x14ac:dyDescent="0.3">
      <c r="A10" s="15" t="s">
        <v>168</v>
      </c>
      <c r="B10" s="74">
        <v>10410.92</v>
      </c>
      <c r="C10" s="21">
        <v>769.53</v>
      </c>
      <c r="D10" s="21">
        <v>13.529</v>
      </c>
      <c r="E10" s="14">
        <f>MF_Summary!G6</f>
        <v>996.8</v>
      </c>
      <c r="F10" s="21">
        <f t="shared" si="0"/>
        <v>13485.707199999999</v>
      </c>
      <c r="G10" s="13">
        <f t="shared" si="1"/>
        <v>3074.7871999999988</v>
      </c>
      <c r="H10" s="15">
        <v>44244</v>
      </c>
    </row>
    <row r="11" spans="1:20" x14ac:dyDescent="0.3">
      <c r="A11" s="15" t="s">
        <v>169</v>
      </c>
      <c r="B11" s="74">
        <v>11556.43</v>
      </c>
      <c r="C11" s="21">
        <v>783.29</v>
      </c>
      <c r="D11" s="21">
        <v>14.754</v>
      </c>
      <c r="E11" s="14">
        <f>MF_Summary!G6</f>
        <v>996.8</v>
      </c>
      <c r="F11" s="21">
        <f t="shared" si="0"/>
        <v>14706.787199999999</v>
      </c>
      <c r="G11" s="13">
        <f t="shared" si="1"/>
        <v>3150.3571999999986</v>
      </c>
      <c r="H11" s="15">
        <v>44244</v>
      </c>
      <c r="J11" s="4"/>
      <c r="K11" s="4"/>
      <c r="L11" s="4"/>
      <c r="M11" s="4"/>
      <c r="N11" s="4"/>
    </row>
    <row r="12" spans="1:20" x14ac:dyDescent="0.3">
      <c r="A12" s="15" t="s">
        <v>170</v>
      </c>
      <c r="B12" s="74">
        <v>10000</v>
      </c>
      <c r="C12" s="21">
        <v>795.35</v>
      </c>
      <c r="D12" s="21">
        <v>12.573</v>
      </c>
      <c r="E12" s="14">
        <f>MF_Summary!G6</f>
        <v>996.8</v>
      </c>
      <c r="F12" s="21">
        <f t="shared" si="0"/>
        <v>12532.7664</v>
      </c>
      <c r="G12" s="13">
        <f t="shared" si="1"/>
        <v>2532.7664000000004</v>
      </c>
      <c r="H12" s="15">
        <v>44244</v>
      </c>
      <c r="I12" s="228" t="s">
        <v>321</v>
      </c>
      <c r="J12" s="228"/>
      <c r="K12" s="228"/>
      <c r="L12" s="228"/>
      <c r="M12" s="228"/>
      <c r="N12" s="228"/>
      <c r="T12">
        <v>3961000</v>
      </c>
    </row>
    <row r="13" spans="1:20" x14ac:dyDescent="0.3">
      <c r="A13" s="15" t="s">
        <v>171</v>
      </c>
      <c r="B13" s="74">
        <v>5000</v>
      </c>
      <c r="C13" s="21">
        <v>791.24</v>
      </c>
      <c r="D13" s="21">
        <v>6.319</v>
      </c>
      <c r="E13" s="14">
        <f>MF_Summary!G6</f>
        <v>996.8</v>
      </c>
      <c r="F13" s="21">
        <f t="shared" si="0"/>
        <v>6298.7791999999999</v>
      </c>
      <c r="G13" s="13">
        <f t="shared" si="1"/>
        <v>1298.7791999999999</v>
      </c>
      <c r="H13" s="15">
        <v>44244</v>
      </c>
      <c r="I13" s="15"/>
      <c r="J13" s="4" t="s">
        <v>147</v>
      </c>
      <c r="K13" s="4" t="s">
        <v>148</v>
      </c>
      <c r="L13" s="4" t="s">
        <v>149</v>
      </c>
      <c r="M13" s="4" t="s">
        <v>150</v>
      </c>
      <c r="N13" s="4" t="s">
        <v>151</v>
      </c>
      <c r="T13">
        <f>SUM(N23,L36)</f>
        <v>660837.86391479988</v>
      </c>
    </row>
    <row r="14" spans="1:20" x14ac:dyDescent="0.3">
      <c r="B14" s="23"/>
      <c r="C14" s="23">
        <f>AVERAGE(C3:C13)</f>
        <v>763.34090909090912</v>
      </c>
      <c r="D14" s="23"/>
      <c r="E14" s="23"/>
      <c r="F14" s="23"/>
      <c r="I14" s="81">
        <v>43776</v>
      </c>
      <c r="J14" s="80">
        <v>140000</v>
      </c>
      <c r="K14" s="80">
        <v>26.347899999999999</v>
      </c>
      <c r="L14" s="80">
        <v>5313.5159999999996</v>
      </c>
      <c r="M14" s="80">
        <v>27.6692</v>
      </c>
      <c r="N14">
        <f>L14*M14</f>
        <v>147020.73690719999</v>
      </c>
      <c r="O14" s="82"/>
      <c r="T14">
        <v>1370000</v>
      </c>
    </row>
    <row r="15" spans="1:20" x14ac:dyDescent="0.3">
      <c r="B15" s="75">
        <f>SUM(B3:B13)</f>
        <v>131913.14000000001</v>
      </c>
      <c r="C15" s="23"/>
      <c r="D15" s="23">
        <f>SUM(D3:D13)</f>
        <v>172.685</v>
      </c>
      <c r="E15" s="23"/>
      <c r="F15" s="23">
        <f>SUM(F3:F13)</f>
        <v>172132.40799999997</v>
      </c>
      <c r="G15" s="13">
        <f>F15-B15</f>
        <v>40219.267999999953</v>
      </c>
      <c r="I15" s="81">
        <v>43782</v>
      </c>
      <c r="J15" s="80">
        <v>100000</v>
      </c>
      <c r="K15" s="80">
        <v>26.374600000000001</v>
      </c>
      <c r="L15" s="80">
        <v>3791.527</v>
      </c>
      <c r="M15" s="80">
        <v>27.6692</v>
      </c>
      <c r="N15">
        <f t="shared" ref="N15:N21" si="2">L15*M15</f>
        <v>104908.5188684</v>
      </c>
      <c r="O15" s="82"/>
      <c r="T15">
        <v>1400000</v>
      </c>
    </row>
    <row r="16" spans="1:20" x14ac:dyDescent="0.3">
      <c r="I16" s="81">
        <v>43783</v>
      </c>
      <c r="J16" s="80">
        <v>100000</v>
      </c>
      <c r="K16" s="80">
        <v>26.368300000000001</v>
      </c>
      <c r="L16" s="80">
        <v>3792.433</v>
      </c>
      <c r="M16" s="80">
        <v>27.6692</v>
      </c>
      <c r="N16">
        <f t="shared" si="2"/>
        <v>104933.58716359999</v>
      </c>
      <c r="O16" s="82"/>
      <c r="T16">
        <v>200000</v>
      </c>
    </row>
    <row r="17" spans="1:20" x14ac:dyDescent="0.3">
      <c r="A17" s="228" t="s">
        <v>303</v>
      </c>
      <c r="B17" s="228"/>
      <c r="C17" s="228"/>
      <c r="D17" s="228"/>
      <c r="E17" s="228"/>
      <c r="F17" s="228"/>
      <c r="I17" s="81">
        <v>43784</v>
      </c>
      <c r="J17" s="80">
        <v>150000</v>
      </c>
      <c r="K17" s="80">
        <v>26.359300000000001</v>
      </c>
      <c r="L17" s="80">
        <v>5690.5910000000003</v>
      </c>
      <c r="M17" s="80">
        <v>27.6692</v>
      </c>
      <c r="N17">
        <f t="shared" si="2"/>
        <v>157454.10049720001</v>
      </c>
      <c r="O17" s="82"/>
      <c r="T17">
        <v>2459566</v>
      </c>
    </row>
    <row r="18" spans="1:20" x14ac:dyDescent="0.3">
      <c r="B18" s="4" t="s">
        <v>147</v>
      </c>
      <c r="C18" s="4" t="s">
        <v>148</v>
      </c>
      <c r="D18" s="4" t="s">
        <v>149</v>
      </c>
      <c r="E18" s="4" t="s">
        <v>150</v>
      </c>
      <c r="F18" s="4" t="s">
        <v>151</v>
      </c>
      <c r="I18" s="81">
        <v>43798</v>
      </c>
      <c r="J18" s="80">
        <v>110000</v>
      </c>
      <c r="K18" s="80">
        <v>26.422499999999999</v>
      </c>
      <c r="L18" s="80">
        <v>4163.1189999999997</v>
      </c>
      <c r="M18" s="80">
        <v>27.6692</v>
      </c>
      <c r="N18">
        <f t="shared" si="2"/>
        <v>115190.17223479999</v>
      </c>
      <c r="O18" s="82"/>
    </row>
    <row r="19" spans="1:20" x14ac:dyDescent="0.3">
      <c r="A19" s="77">
        <v>43878</v>
      </c>
      <c r="B19" s="78">
        <v>50000</v>
      </c>
      <c r="C19">
        <v>11.77</v>
      </c>
      <c r="D19" s="13">
        <v>4248.0879999999997</v>
      </c>
      <c r="E19">
        <v>13.48</v>
      </c>
      <c r="F19">
        <f>E19*D19</f>
        <v>57264.226239999996</v>
      </c>
      <c r="G19">
        <f>F19-B19</f>
        <v>7264.2262399999963</v>
      </c>
      <c r="H19" s="110">
        <v>44253</v>
      </c>
      <c r="I19" s="81">
        <v>43822</v>
      </c>
      <c r="J19" s="80">
        <v>10000</v>
      </c>
      <c r="K19" s="80">
        <v>26.4955</v>
      </c>
      <c r="L19" s="80">
        <v>377.423</v>
      </c>
      <c r="M19" s="80">
        <v>27.6692</v>
      </c>
      <c r="N19">
        <f t="shared" si="2"/>
        <v>10442.9924716</v>
      </c>
      <c r="O19" s="82"/>
      <c r="T19">
        <f>SUM(T12:T17)</f>
        <v>10051403.863914799</v>
      </c>
    </row>
    <row r="20" spans="1:20" x14ac:dyDescent="0.3">
      <c r="A20" s="77">
        <v>43885</v>
      </c>
      <c r="B20" s="79">
        <v>10000</v>
      </c>
      <c r="C20">
        <v>11.64</v>
      </c>
      <c r="D20">
        <v>859.10699999999997</v>
      </c>
      <c r="E20">
        <v>13.48</v>
      </c>
      <c r="F20">
        <f>E20*D20</f>
        <v>11580.762360000001</v>
      </c>
      <c r="G20">
        <f>F20-B20</f>
        <v>1580.7623600000006</v>
      </c>
      <c r="H20" s="110">
        <v>44253</v>
      </c>
      <c r="I20" s="81">
        <v>43823</v>
      </c>
      <c r="J20" s="80">
        <v>10000</v>
      </c>
      <c r="K20" s="80">
        <v>26.486999999999998</v>
      </c>
      <c r="L20" s="80">
        <v>377.54399999999998</v>
      </c>
      <c r="M20" s="80">
        <v>27.6692</v>
      </c>
      <c r="N20">
        <f t="shared" si="2"/>
        <v>10446.3404448</v>
      </c>
      <c r="O20" s="82"/>
    </row>
    <row r="21" spans="1:20" x14ac:dyDescent="0.3">
      <c r="I21" s="81">
        <v>43825</v>
      </c>
      <c r="J21" s="80">
        <v>10000</v>
      </c>
      <c r="K21" s="80">
        <v>26.499500000000001</v>
      </c>
      <c r="L21" s="80">
        <v>377.36599999999999</v>
      </c>
      <c r="M21" s="80">
        <v>27.6692</v>
      </c>
      <c r="N21">
        <f t="shared" si="2"/>
        <v>10441.4153272</v>
      </c>
      <c r="O21" s="82"/>
    </row>
    <row r="22" spans="1:20" x14ac:dyDescent="0.3">
      <c r="A22" s="228" t="s">
        <v>13</v>
      </c>
      <c r="B22" s="228"/>
      <c r="C22" s="228"/>
      <c r="D22" s="228"/>
      <c r="E22" s="228"/>
      <c r="F22" s="228"/>
    </row>
    <row r="23" spans="1:20" x14ac:dyDescent="0.3"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H23" s="4" t="s">
        <v>332</v>
      </c>
      <c r="J23">
        <f>SUM(J14:J21)</f>
        <v>630000</v>
      </c>
      <c r="N23">
        <f>SUM(N14:N21)</f>
        <v>660837.86391479988</v>
      </c>
    </row>
    <row r="24" spans="1:20" x14ac:dyDescent="0.3">
      <c r="A24" s="89">
        <v>42909</v>
      </c>
      <c r="B24" s="90">
        <v>5000</v>
      </c>
      <c r="C24" s="90">
        <v>10.3508</v>
      </c>
      <c r="D24" s="90">
        <v>483.05399999999997</v>
      </c>
      <c r="E24" s="91">
        <v>12.507</v>
      </c>
      <c r="F24" s="92">
        <f t="shared" ref="F24:F29" si="3">D24*E24</f>
        <v>6041.5563779999993</v>
      </c>
      <c r="G24">
        <f>F24-B24</f>
        <v>1041.5563779999993</v>
      </c>
      <c r="H24" s="89">
        <v>43984</v>
      </c>
    </row>
    <row r="25" spans="1:20" x14ac:dyDescent="0.3">
      <c r="A25" s="89">
        <v>42929</v>
      </c>
      <c r="B25" s="90">
        <v>29000</v>
      </c>
      <c r="C25" s="90">
        <v>10.5898</v>
      </c>
      <c r="D25" s="96">
        <v>2738.4839999999999</v>
      </c>
      <c r="E25" s="91">
        <v>12.507</v>
      </c>
      <c r="F25" s="92">
        <f t="shared" si="3"/>
        <v>34250.219387999998</v>
      </c>
      <c r="G25">
        <f t="shared" ref="G25:G49" si="4">F25-B25</f>
        <v>5250.2193879999977</v>
      </c>
      <c r="H25" s="89">
        <v>43984</v>
      </c>
    </row>
    <row r="26" spans="1:20" x14ac:dyDescent="0.3">
      <c r="A26" s="89">
        <v>42958</v>
      </c>
      <c r="B26" s="90">
        <v>5241</v>
      </c>
      <c r="C26" s="90">
        <v>10.4175</v>
      </c>
      <c r="D26" s="90">
        <v>503.1</v>
      </c>
      <c r="E26" s="91">
        <v>12.507</v>
      </c>
      <c r="F26" s="92">
        <f t="shared" si="3"/>
        <v>6292.2717000000002</v>
      </c>
      <c r="G26">
        <f t="shared" si="4"/>
        <v>1051.2717000000002</v>
      </c>
      <c r="H26" s="89">
        <v>43984</v>
      </c>
      <c r="J26" s="99">
        <f>SUM(F24:F29)</f>
        <v>82293.796233000001</v>
      </c>
    </row>
    <row r="27" spans="1:20" x14ac:dyDescent="0.3">
      <c r="A27" s="89">
        <v>42965</v>
      </c>
      <c r="B27" s="90">
        <v>5000</v>
      </c>
      <c r="C27" s="90">
        <v>10.5296</v>
      </c>
      <c r="D27" s="90">
        <v>474.85199999999998</v>
      </c>
      <c r="E27" s="91">
        <v>12.507</v>
      </c>
      <c r="F27" s="92">
        <f t="shared" si="3"/>
        <v>5938.9739639999998</v>
      </c>
      <c r="G27">
        <f t="shared" si="4"/>
        <v>938.9739639999998</v>
      </c>
      <c r="H27" s="89">
        <v>43984</v>
      </c>
    </row>
    <row r="28" spans="1:20" x14ac:dyDescent="0.3">
      <c r="A28" s="89">
        <v>43004</v>
      </c>
      <c r="B28" s="90">
        <v>4681.75</v>
      </c>
      <c r="C28" s="90">
        <v>10.5715</v>
      </c>
      <c r="D28" s="90">
        <v>442.86500000000001</v>
      </c>
      <c r="E28" s="91">
        <v>12.507</v>
      </c>
      <c r="F28" s="92">
        <f t="shared" si="3"/>
        <v>5538.9125549999999</v>
      </c>
      <c r="G28">
        <f t="shared" si="4"/>
        <v>857.16255499999988</v>
      </c>
      <c r="H28" s="89">
        <v>43984</v>
      </c>
      <c r="O28">
        <f>SUM(N23,O38)</f>
        <v>976659.35727179993</v>
      </c>
    </row>
    <row r="29" spans="1:20" x14ac:dyDescent="0.3">
      <c r="A29" s="89">
        <v>43031</v>
      </c>
      <c r="B29" s="90">
        <v>20963.75</v>
      </c>
      <c r="C29" s="90">
        <v>10.8202</v>
      </c>
      <c r="D29" s="96">
        <v>1937.4639999999999</v>
      </c>
      <c r="E29" s="91">
        <v>12.507</v>
      </c>
      <c r="F29" s="92">
        <f t="shared" si="3"/>
        <v>24231.862247999998</v>
      </c>
      <c r="G29">
        <f t="shared" si="4"/>
        <v>3268.1122479999976</v>
      </c>
      <c r="H29" s="89">
        <v>43984</v>
      </c>
      <c r="O29">
        <v>680000</v>
      </c>
    </row>
    <row r="30" spans="1:20" x14ac:dyDescent="0.3">
      <c r="A30" s="77">
        <v>43874</v>
      </c>
      <c r="B30" s="79">
        <v>100000</v>
      </c>
      <c r="C30">
        <v>14.1393</v>
      </c>
      <c r="D30">
        <v>7072.4859999999999</v>
      </c>
      <c r="E30" s="91">
        <v>16.847100000000001</v>
      </c>
      <c r="F30" s="92">
        <f>E30*D30</f>
        <v>119150.87889060001</v>
      </c>
      <c r="G30">
        <f t="shared" si="4"/>
        <v>19150.878890600012</v>
      </c>
      <c r="H30" s="15">
        <v>44253</v>
      </c>
    </row>
    <row r="33" spans="1:15" x14ac:dyDescent="0.3">
      <c r="A33" s="228" t="s">
        <v>156</v>
      </c>
      <c r="B33" s="228"/>
      <c r="C33" s="228"/>
      <c r="D33" s="228"/>
      <c r="E33" s="228"/>
      <c r="F33" s="228"/>
    </row>
    <row r="34" spans="1:15" x14ac:dyDescent="0.3">
      <c r="B34" s="4" t="s">
        <v>147</v>
      </c>
      <c r="C34" s="4" t="s">
        <v>148</v>
      </c>
      <c r="D34" s="4" t="s">
        <v>149</v>
      </c>
      <c r="E34" s="4" t="s">
        <v>150</v>
      </c>
      <c r="F34" s="4" t="s">
        <v>151</v>
      </c>
      <c r="H34" s="4" t="s">
        <v>332</v>
      </c>
      <c r="J34" s="4"/>
      <c r="K34" s="4"/>
      <c r="L34" s="4"/>
      <c r="M34" s="4"/>
      <c r="N34" s="4"/>
    </row>
    <row r="35" spans="1:15" x14ac:dyDescent="0.3">
      <c r="A35" s="89">
        <v>42905</v>
      </c>
      <c r="B35" s="90">
        <v>5000</v>
      </c>
      <c r="C35" s="90">
        <v>141.94</v>
      </c>
      <c r="D35" s="90">
        <v>35.225999999999999</v>
      </c>
      <c r="E35" s="91">
        <v>167.44</v>
      </c>
      <c r="F35" s="90">
        <f>D35*E35</f>
        <v>5898.2414399999998</v>
      </c>
      <c r="G35">
        <f t="shared" si="4"/>
        <v>898.24143999999978</v>
      </c>
      <c r="H35" s="89">
        <v>43984</v>
      </c>
      <c r="I35" s="15"/>
      <c r="M35" s="14"/>
    </row>
    <row r="36" spans="1:15" x14ac:dyDescent="0.3">
      <c r="A36" s="89">
        <v>42944</v>
      </c>
      <c r="B36" s="90">
        <v>5000</v>
      </c>
      <c r="C36" s="90">
        <v>145.27000000000001</v>
      </c>
      <c r="D36" s="90">
        <v>34.418999999999997</v>
      </c>
      <c r="E36" s="91">
        <v>167.44</v>
      </c>
      <c r="F36" s="90">
        <f t="shared" ref="F36:F49" si="5">D36*E36</f>
        <v>5763.1173599999993</v>
      </c>
      <c r="G36">
        <f t="shared" si="4"/>
        <v>763.11735999999928</v>
      </c>
      <c r="H36" s="89">
        <v>43984</v>
      </c>
      <c r="I36" s="15"/>
      <c r="L36" s="50"/>
    </row>
    <row r="37" spans="1:15" x14ac:dyDescent="0.3">
      <c r="A37" s="89">
        <v>42950</v>
      </c>
      <c r="B37" s="90">
        <v>10000</v>
      </c>
      <c r="C37" s="90">
        <v>145.62</v>
      </c>
      <c r="D37" s="90">
        <v>68.671999999999997</v>
      </c>
      <c r="E37" s="91">
        <v>167.44</v>
      </c>
      <c r="F37" s="90">
        <f t="shared" si="5"/>
        <v>11498.439679999999</v>
      </c>
      <c r="G37">
        <f t="shared" si="4"/>
        <v>1498.4396799999995</v>
      </c>
      <c r="H37" s="89">
        <v>43984</v>
      </c>
    </row>
    <row r="38" spans="1:15" x14ac:dyDescent="0.3">
      <c r="A38" s="89">
        <v>42965</v>
      </c>
      <c r="B38" s="90">
        <v>5000</v>
      </c>
      <c r="C38" s="90">
        <v>144.94999999999999</v>
      </c>
      <c r="D38" s="90">
        <v>34.494999999999997</v>
      </c>
      <c r="E38" s="91">
        <v>167.44</v>
      </c>
      <c r="F38" s="90">
        <f t="shared" si="5"/>
        <v>5775.8427999999994</v>
      </c>
      <c r="G38">
        <f t="shared" si="4"/>
        <v>775.84279999999944</v>
      </c>
      <c r="H38" s="89">
        <v>43984</v>
      </c>
      <c r="O38">
        <f>SUM(J26,J40,J63)</f>
        <v>315821.49335700006</v>
      </c>
    </row>
    <row r="39" spans="1:15" x14ac:dyDescent="0.3">
      <c r="A39" s="89">
        <v>42982</v>
      </c>
      <c r="B39" s="90">
        <v>5000</v>
      </c>
      <c r="C39" s="90">
        <v>146.13</v>
      </c>
      <c r="D39" s="90">
        <v>34.216000000000001</v>
      </c>
      <c r="E39" s="91">
        <v>167.44</v>
      </c>
      <c r="F39" s="90">
        <f t="shared" si="5"/>
        <v>5729.1270400000003</v>
      </c>
      <c r="G39">
        <f t="shared" si="4"/>
        <v>729.12704000000031</v>
      </c>
      <c r="H39" s="89">
        <v>43984</v>
      </c>
    </row>
    <row r="40" spans="1:15" x14ac:dyDescent="0.3">
      <c r="A40" s="89">
        <v>42999</v>
      </c>
      <c r="B40" s="90">
        <v>5000</v>
      </c>
      <c r="C40" s="90">
        <v>148.37</v>
      </c>
      <c r="D40" s="90">
        <v>33.700000000000003</v>
      </c>
      <c r="E40" s="91">
        <v>167.44</v>
      </c>
      <c r="F40" s="90">
        <f t="shared" si="5"/>
        <v>5642.7280000000001</v>
      </c>
      <c r="G40">
        <f t="shared" si="4"/>
        <v>642.72800000000007</v>
      </c>
      <c r="H40" s="89">
        <v>43984</v>
      </c>
      <c r="J40" s="97">
        <f>SUM(F35:F49)</f>
        <v>173968.98792000004</v>
      </c>
    </row>
    <row r="41" spans="1:15" x14ac:dyDescent="0.3">
      <c r="A41" s="89">
        <v>43000</v>
      </c>
      <c r="B41" s="90">
        <v>5000</v>
      </c>
      <c r="C41" s="90">
        <v>146.34</v>
      </c>
      <c r="D41" s="90">
        <v>34.167000000000002</v>
      </c>
      <c r="E41" s="91">
        <v>167.44</v>
      </c>
      <c r="F41" s="90">
        <f t="shared" si="5"/>
        <v>5720.9224800000002</v>
      </c>
      <c r="G41">
        <f t="shared" si="4"/>
        <v>720.92248000000018</v>
      </c>
      <c r="H41" s="89">
        <v>43984</v>
      </c>
      <c r="L41" s="73"/>
    </row>
    <row r="42" spans="1:15" x14ac:dyDescent="0.3">
      <c r="A42" s="89">
        <v>43003</v>
      </c>
      <c r="B42" s="90">
        <v>5000</v>
      </c>
      <c r="C42" s="90">
        <v>145.19</v>
      </c>
      <c r="D42" s="90">
        <v>34.438000000000002</v>
      </c>
      <c r="E42" s="91">
        <v>167.44</v>
      </c>
      <c r="F42" s="90">
        <f t="shared" si="5"/>
        <v>5766.2987200000007</v>
      </c>
      <c r="G42">
        <f t="shared" si="4"/>
        <v>766.29872000000069</v>
      </c>
      <c r="H42" s="89">
        <v>43984</v>
      </c>
    </row>
    <row r="43" spans="1:15" x14ac:dyDescent="0.3">
      <c r="A43" s="89">
        <v>43046</v>
      </c>
      <c r="B43" s="90">
        <v>5000</v>
      </c>
      <c r="C43" s="90">
        <v>149.36000000000001</v>
      </c>
      <c r="D43" s="90">
        <v>33.475999999999999</v>
      </c>
      <c r="E43" s="91">
        <v>167.44</v>
      </c>
      <c r="F43" s="90">
        <f t="shared" si="5"/>
        <v>5605.2214399999993</v>
      </c>
      <c r="G43">
        <f t="shared" si="4"/>
        <v>605.22143999999935</v>
      </c>
      <c r="H43" s="89">
        <v>43984</v>
      </c>
    </row>
    <row r="44" spans="1:15" x14ac:dyDescent="0.3">
      <c r="A44" s="89">
        <v>43052</v>
      </c>
      <c r="B44" s="90">
        <v>5000</v>
      </c>
      <c r="C44" s="90">
        <v>148.6</v>
      </c>
      <c r="D44" s="90">
        <v>33.646999999999998</v>
      </c>
      <c r="E44" s="91">
        <v>167.44</v>
      </c>
      <c r="F44" s="90">
        <f t="shared" si="5"/>
        <v>5633.8536799999993</v>
      </c>
      <c r="G44">
        <f t="shared" si="4"/>
        <v>633.85367999999926</v>
      </c>
      <c r="H44" s="89">
        <v>43984</v>
      </c>
    </row>
    <row r="45" spans="1:15" x14ac:dyDescent="0.3">
      <c r="A45" s="89">
        <v>43066</v>
      </c>
      <c r="B45" s="90">
        <v>2000</v>
      </c>
      <c r="C45" s="90">
        <v>151.08000000000001</v>
      </c>
      <c r="D45" s="90">
        <v>13.238</v>
      </c>
      <c r="E45" s="91">
        <v>167.44</v>
      </c>
      <c r="F45" s="90">
        <f t="shared" si="5"/>
        <v>2216.5707199999997</v>
      </c>
      <c r="G45">
        <f t="shared" si="4"/>
        <v>216.57071999999971</v>
      </c>
      <c r="H45" s="89">
        <v>43984</v>
      </c>
    </row>
    <row r="46" spans="1:15" x14ac:dyDescent="0.3">
      <c r="A46" s="89">
        <v>43069</v>
      </c>
      <c r="B46" s="90">
        <v>5000</v>
      </c>
      <c r="C46" s="90">
        <v>150.32</v>
      </c>
      <c r="D46" s="90">
        <v>33.262</v>
      </c>
      <c r="E46" s="91">
        <v>167.44</v>
      </c>
      <c r="F46" s="90">
        <f t="shared" si="5"/>
        <v>5569.3892800000003</v>
      </c>
      <c r="G46">
        <f t="shared" si="4"/>
        <v>569.38928000000033</v>
      </c>
      <c r="H46" s="89">
        <v>43984</v>
      </c>
    </row>
    <row r="47" spans="1:15" ht="15" customHeight="1" x14ac:dyDescent="0.3">
      <c r="A47" s="89">
        <v>43075</v>
      </c>
      <c r="B47" s="90">
        <v>2000</v>
      </c>
      <c r="C47" s="90">
        <v>148.41</v>
      </c>
      <c r="D47" s="90">
        <v>13.476000000000001</v>
      </c>
      <c r="E47" s="91">
        <v>167.44</v>
      </c>
      <c r="F47" s="90">
        <f t="shared" si="5"/>
        <v>2256.4214400000001</v>
      </c>
      <c r="G47">
        <f t="shared" si="4"/>
        <v>256.42144000000008</v>
      </c>
      <c r="H47" s="89">
        <v>43984</v>
      </c>
      <c r="I47" s="22"/>
      <c r="J47" s="22"/>
    </row>
    <row r="48" spans="1:15" ht="15" customHeight="1" x14ac:dyDescent="0.3">
      <c r="A48" s="89">
        <v>43133</v>
      </c>
      <c r="B48" s="90">
        <v>10000</v>
      </c>
      <c r="C48" s="90">
        <v>152.93</v>
      </c>
      <c r="D48" s="90">
        <v>65.388999999999996</v>
      </c>
      <c r="E48" s="91">
        <v>167.44</v>
      </c>
      <c r="F48" s="90">
        <f t="shared" si="5"/>
        <v>10948.73416</v>
      </c>
      <c r="G48">
        <f t="shared" si="4"/>
        <v>948.73415999999997</v>
      </c>
      <c r="H48" s="89">
        <v>43984</v>
      </c>
      <c r="I48" s="22"/>
      <c r="J48" s="22"/>
    </row>
    <row r="49" spans="1:13" ht="15" customHeight="1" x14ac:dyDescent="0.3">
      <c r="A49" s="94">
        <v>43875</v>
      </c>
      <c r="B49" s="95">
        <v>100000</v>
      </c>
      <c r="C49" s="90">
        <v>186.16</v>
      </c>
      <c r="D49" s="90">
        <v>537.17200000000003</v>
      </c>
      <c r="E49" s="91">
        <v>167.44</v>
      </c>
      <c r="F49" s="90">
        <f t="shared" si="5"/>
        <v>89944.07968000001</v>
      </c>
      <c r="G49">
        <f t="shared" si="4"/>
        <v>-10055.92031999999</v>
      </c>
      <c r="H49" s="89">
        <v>43984</v>
      </c>
      <c r="I49" s="22"/>
      <c r="J49" s="22"/>
    </row>
    <row r="50" spans="1:13" ht="15" customHeight="1" x14ac:dyDescent="0.3">
      <c r="G50" s="22"/>
      <c r="H50" s="22"/>
      <c r="I50" s="22"/>
      <c r="J50" s="22"/>
    </row>
    <row r="51" spans="1:13" ht="15" customHeight="1" x14ac:dyDescent="0.3">
      <c r="B51">
        <f>SUM(B35:B49)</f>
        <v>174000</v>
      </c>
      <c r="C51">
        <f>AVERAGE(C35:C49)</f>
        <v>150.04466666666664</v>
      </c>
      <c r="D51">
        <f>SUM(D35:D49)</f>
        <v>1038.9929999999999</v>
      </c>
      <c r="F51">
        <f>SUM(F35:F49)</f>
        <v>173968.98792000004</v>
      </c>
      <c r="G51" s="22"/>
      <c r="H51" s="22"/>
      <c r="I51" s="22"/>
      <c r="J51" s="22"/>
    </row>
    <row r="52" spans="1:13" ht="15" customHeight="1" x14ac:dyDescent="0.3">
      <c r="G52" s="22"/>
      <c r="H52" s="22"/>
      <c r="I52" s="22"/>
      <c r="J52" s="22"/>
    </row>
    <row r="53" spans="1:13" ht="15" customHeight="1" x14ac:dyDescent="0.3">
      <c r="A53" s="228" t="s">
        <v>318</v>
      </c>
      <c r="B53" s="228"/>
      <c r="C53" s="228"/>
      <c r="D53" s="228"/>
      <c r="E53" s="228"/>
      <c r="F53" s="228"/>
      <c r="G53" s="22"/>
      <c r="H53" s="22"/>
      <c r="I53" s="22"/>
      <c r="J53" s="22"/>
    </row>
    <row r="54" spans="1:13" ht="15" customHeight="1" x14ac:dyDescent="0.3">
      <c r="B54" s="4" t="s">
        <v>147</v>
      </c>
      <c r="C54" s="4" t="s">
        <v>148</v>
      </c>
      <c r="D54" s="4" t="s">
        <v>149</v>
      </c>
      <c r="E54" s="4" t="s">
        <v>150</v>
      </c>
      <c r="F54" s="4" t="s">
        <v>151</v>
      </c>
      <c r="G54" s="22"/>
      <c r="H54" s="22"/>
      <c r="I54" s="22"/>
      <c r="J54" s="22"/>
      <c r="M54" s="14">
        <f>SUM(J26,J40,J63,J78,J101,J143,J193)</f>
        <v>580358.68790640007</v>
      </c>
    </row>
    <row r="55" spans="1:13" ht="15" customHeight="1" x14ac:dyDescent="0.3">
      <c r="A55" s="15">
        <v>43252</v>
      </c>
      <c r="B55">
        <v>203724.43</v>
      </c>
      <c r="C55">
        <v>52.914000000000001</v>
      </c>
      <c r="D55">
        <v>3850.11</v>
      </c>
      <c r="E55">
        <f>MF_Summary!G5</f>
        <v>73.192999999999998</v>
      </c>
      <c r="F55">
        <f>E55*D55</f>
        <v>281801.10123000003</v>
      </c>
      <c r="G55">
        <f>F55-B55</f>
        <v>78076.671230000036</v>
      </c>
      <c r="H55" s="104">
        <v>44244</v>
      </c>
    </row>
    <row r="56" spans="1:13" ht="15" customHeight="1" x14ac:dyDescent="0.3">
      <c r="A56" s="15"/>
      <c r="G56" s="22"/>
      <c r="H56" s="22"/>
    </row>
    <row r="57" spans="1:13" ht="15" customHeight="1" x14ac:dyDescent="0.3">
      <c r="A57" s="228" t="s">
        <v>158</v>
      </c>
      <c r="B57" s="228"/>
      <c r="C57" s="228"/>
      <c r="D57" s="228"/>
      <c r="E57" s="228"/>
      <c r="F57" s="228"/>
      <c r="G57" s="22"/>
      <c r="H57" s="22"/>
    </row>
    <row r="58" spans="1:13" ht="15" customHeight="1" x14ac:dyDescent="0.3">
      <c r="B58" s="4" t="s">
        <v>147</v>
      </c>
      <c r="C58" s="4" t="s">
        <v>148</v>
      </c>
      <c r="D58" s="4" t="s">
        <v>149</v>
      </c>
      <c r="E58" s="4" t="s">
        <v>150</v>
      </c>
      <c r="F58" s="4" t="s">
        <v>151</v>
      </c>
      <c r="H58" s="4" t="s">
        <v>332</v>
      </c>
    </row>
    <row r="59" spans="1:13" ht="15" customHeight="1" x14ac:dyDescent="0.3">
      <c r="A59" s="89">
        <v>42905</v>
      </c>
      <c r="B59" s="90">
        <v>1000</v>
      </c>
      <c r="C59" s="90">
        <v>142.36000000000001</v>
      </c>
      <c r="D59" s="90">
        <v>7.024</v>
      </c>
      <c r="E59" s="90">
        <v>157.60400000000001</v>
      </c>
      <c r="F59" s="92">
        <f>E59*D59</f>
        <v>1107.0104960000001</v>
      </c>
      <c r="G59">
        <f>F59-B59</f>
        <v>107.0104960000001</v>
      </c>
      <c r="H59" s="89">
        <v>43984</v>
      </c>
      <c r="I59" s="15"/>
    </row>
    <row r="60" spans="1:13" ht="15" customHeight="1" x14ac:dyDescent="0.3">
      <c r="A60" s="89">
        <v>42909</v>
      </c>
      <c r="B60" s="90">
        <v>4000</v>
      </c>
      <c r="C60" s="90">
        <v>140.82499999999999</v>
      </c>
      <c r="D60" s="90">
        <v>28.404</v>
      </c>
      <c r="E60" s="90">
        <v>157.60400000000001</v>
      </c>
      <c r="F60" s="92">
        <f t="shared" ref="F60:F69" si="6">E60*D60</f>
        <v>4476.5840160000007</v>
      </c>
      <c r="G60">
        <f t="shared" ref="G60:G69" si="7">F60-B60</f>
        <v>476.5840160000007</v>
      </c>
      <c r="H60" s="89">
        <v>43984</v>
      </c>
      <c r="I60" s="15"/>
    </row>
    <row r="61" spans="1:13" x14ac:dyDescent="0.3">
      <c r="A61" s="89">
        <v>42944</v>
      </c>
      <c r="B61" s="90">
        <v>5000</v>
      </c>
      <c r="C61" s="90">
        <v>145.47900000000001</v>
      </c>
      <c r="D61" s="90">
        <v>34.369</v>
      </c>
      <c r="E61" s="90">
        <v>157.60400000000001</v>
      </c>
      <c r="F61" s="92">
        <f t="shared" si="6"/>
        <v>5416.6918760000008</v>
      </c>
      <c r="G61">
        <f t="shared" si="7"/>
        <v>416.69187600000078</v>
      </c>
      <c r="H61" s="89">
        <v>43984</v>
      </c>
      <c r="I61" s="15"/>
    </row>
    <row r="62" spans="1:13" x14ac:dyDescent="0.3">
      <c r="A62" s="89">
        <v>42955</v>
      </c>
      <c r="B62" s="90">
        <v>5000</v>
      </c>
      <c r="C62" s="90">
        <v>145.61799999999999</v>
      </c>
      <c r="D62" s="90">
        <v>34.335999999999999</v>
      </c>
      <c r="E62" s="90">
        <v>157.60400000000001</v>
      </c>
      <c r="F62" s="92">
        <f t="shared" si="6"/>
        <v>5411.4909440000001</v>
      </c>
      <c r="G62">
        <f t="shared" si="7"/>
        <v>411.49094400000013</v>
      </c>
      <c r="H62" s="89">
        <v>43984</v>
      </c>
    </row>
    <row r="63" spans="1:13" x14ac:dyDescent="0.3">
      <c r="A63" s="89">
        <v>42958</v>
      </c>
      <c r="B63" s="90">
        <v>5000</v>
      </c>
      <c r="C63" s="90">
        <v>141.53100000000001</v>
      </c>
      <c r="D63" s="90">
        <v>35.328000000000003</v>
      </c>
      <c r="E63" s="90">
        <v>157.60400000000001</v>
      </c>
      <c r="F63" s="92">
        <f t="shared" si="6"/>
        <v>5567.8341120000014</v>
      </c>
      <c r="G63">
        <f t="shared" si="7"/>
        <v>567.83411200000137</v>
      </c>
      <c r="H63" s="89">
        <v>43984</v>
      </c>
      <c r="J63" s="99">
        <f>SUM(F59:F69)</f>
        <v>59558.709204000006</v>
      </c>
    </row>
    <row r="64" spans="1:13" x14ac:dyDescent="0.3">
      <c r="A64" s="89">
        <v>42965</v>
      </c>
      <c r="B64" s="90">
        <v>5000</v>
      </c>
      <c r="C64" s="90">
        <v>144.06200000000001</v>
      </c>
      <c r="D64" s="90">
        <v>34.707000000000001</v>
      </c>
      <c r="E64" s="90">
        <v>157.60400000000001</v>
      </c>
      <c r="F64" s="92">
        <f t="shared" si="6"/>
        <v>5469.9620280000008</v>
      </c>
      <c r="G64">
        <f t="shared" si="7"/>
        <v>469.96202800000083</v>
      </c>
      <c r="H64" s="89">
        <v>43984</v>
      </c>
    </row>
    <row r="65" spans="1:10" x14ac:dyDescent="0.3">
      <c r="A65" s="89">
        <v>42982</v>
      </c>
      <c r="B65" s="90">
        <v>5000</v>
      </c>
      <c r="C65" s="90">
        <v>146.17599999999999</v>
      </c>
      <c r="D65" s="90">
        <v>34.204999999999998</v>
      </c>
      <c r="E65" s="90">
        <v>157.60400000000001</v>
      </c>
      <c r="F65" s="92">
        <f t="shared" si="6"/>
        <v>5390.8448200000003</v>
      </c>
      <c r="G65">
        <f t="shared" si="7"/>
        <v>390.84482000000025</v>
      </c>
      <c r="H65" s="89">
        <v>43984</v>
      </c>
    </row>
    <row r="66" spans="1:10" x14ac:dyDescent="0.3">
      <c r="A66" s="89">
        <v>43000</v>
      </c>
      <c r="B66" s="90">
        <v>10000</v>
      </c>
      <c r="C66" s="90">
        <v>146.13499999999999</v>
      </c>
      <c r="D66" s="90">
        <v>68.430000000000007</v>
      </c>
      <c r="E66" s="90">
        <v>157.60400000000001</v>
      </c>
      <c r="F66" s="92">
        <f t="shared" si="6"/>
        <v>10784.841720000002</v>
      </c>
      <c r="G66">
        <f t="shared" si="7"/>
        <v>784.84172000000217</v>
      </c>
      <c r="H66" s="89">
        <v>43984</v>
      </c>
    </row>
    <row r="67" spans="1:10" x14ac:dyDescent="0.3">
      <c r="A67" s="89">
        <v>43003</v>
      </c>
      <c r="B67" s="90">
        <v>5000</v>
      </c>
      <c r="C67" s="90">
        <v>144.59700000000001</v>
      </c>
      <c r="D67" s="90">
        <v>34.579000000000001</v>
      </c>
      <c r="E67" s="90">
        <v>157.60400000000001</v>
      </c>
      <c r="F67" s="92">
        <f t="shared" si="6"/>
        <v>5449.7887160000009</v>
      </c>
      <c r="G67">
        <f t="shared" si="7"/>
        <v>449.78871600000093</v>
      </c>
      <c r="H67" s="89">
        <v>43984</v>
      </c>
    </row>
    <row r="68" spans="1:10" x14ac:dyDescent="0.3">
      <c r="A68" s="89">
        <v>43046</v>
      </c>
      <c r="B68" s="90">
        <v>5000</v>
      </c>
      <c r="C68" s="90">
        <v>150.745</v>
      </c>
      <c r="D68" s="90">
        <v>33.168999999999997</v>
      </c>
      <c r="E68" s="90">
        <v>157.60400000000001</v>
      </c>
      <c r="F68" s="92">
        <f t="shared" si="6"/>
        <v>5227.5670760000003</v>
      </c>
      <c r="G68">
        <f t="shared" si="7"/>
        <v>227.56707600000027</v>
      </c>
      <c r="H68" s="89">
        <v>43984</v>
      </c>
    </row>
    <row r="69" spans="1:10" x14ac:dyDescent="0.3">
      <c r="A69" s="89">
        <v>43052</v>
      </c>
      <c r="B69" s="90">
        <v>5000</v>
      </c>
      <c r="C69" s="90">
        <v>149.92500000000001</v>
      </c>
      <c r="D69" s="90">
        <v>33.35</v>
      </c>
      <c r="E69" s="90">
        <v>157.60400000000001</v>
      </c>
      <c r="F69" s="92">
        <f t="shared" si="6"/>
        <v>5256.0934000000007</v>
      </c>
      <c r="G69">
        <f t="shared" si="7"/>
        <v>256.09340000000066</v>
      </c>
      <c r="H69" s="89">
        <v>43984</v>
      </c>
    </row>
    <row r="70" spans="1:10" x14ac:dyDescent="0.3">
      <c r="A70" s="77">
        <v>43875</v>
      </c>
      <c r="B70" s="79">
        <v>100000</v>
      </c>
      <c r="C70">
        <v>183.81</v>
      </c>
      <c r="D70">
        <v>544.04</v>
      </c>
      <c r="E70">
        <v>215.01300000000001</v>
      </c>
      <c r="F70">
        <f>D70*E70</f>
        <v>116975.67251999999</v>
      </c>
      <c r="G70">
        <f>F70-B70</f>
        <v>16975.672519999993</v>
      </c>
      <c r="H70" s="15">
        <v>44253</v>
      </c>
    </row>
    <row r="74" spans="1:10" x14ac:dyDescent="0.3">
      <c r="A74" s="228" t="s">
        <v>160</v>
      </c>
      <c r="B74" s="228"/>
      <c r="C74" s="228"/>
      <c r="D74" s="228"/>
      <c r="E74" s="228"/>
      <c r="F74" s="228"/>
    </row>
    <row r="75" spans="1:10" x14ac:dyDescent="0.3">
      <c r="B75" s="4" t="s">
        <v>147</v>
      </c>
      <c r="C75" s="4" t="s">
        <v>148</v>
      </c>
      <c r="D75" s="4" t="s">
        <v>149</v>
      </c>
      <c r="E75" s="4" t="s">
        <v>150</v>
      </c>
      <c r="F75" s="4" t="s">
        <v>151</v>
      </c>
      <c r="G75" s="4" t="s">
        <v>333</v>
      </c>
    </row>
    <row r="76" spans="1:10" x14ac:dyDescent="0.3">
      <c r="A76" s="89">
        <v>42902</v>
      </c>
      <c r="B76" s="90">
        <v>10000</v>
      </c>
      <c r="C76" s="90">
        <v>113.34050000000001</v>
      </c>
      <c r="D76" s="90">
        <v>88.23</v>
      </c>
      <c r="E76" s="91">
        <v>117.7839</v>
      </c>
      <c r="F76" s="90">
        <f>E76*D76</f>
        <v>10392.073497000001</v>
      </c>
      <c r="G76" s="89">
        <v>43985</v>
      </c>
    </row>
    <row r="77" spans="1:10" x14ac:dyDescent="0.3">
      <c r="A77" s="89">
        <v>42944</v>
      </c>
      <c r="B77" s="90">
        <v>5000</v>
      </c>
      <c r="C77" s="90">
        <v>116.4696</v>
      </c>
      <c r="D77" s="90">
        <v>42.93</v>
      </c>
      <c r="E77" s="91">
        <v>117.7839</v>
      </c>
      <c r="F77" s="90">
        <f t="shared" ref="F77:F82" si="8">E77*D77</f>
        <v>5056.4628270000003</v>
      </c>
      <c r="G77" s="89">
        <v>43985</v>
      </c>
    </row>
    <row r="78" spans="1:10" x14ac:dyDescent="0.3">
      <c r="A78" s="89">
        <v>42950</v>
      </c>
      <c r="B78" s="90">
        <v>10000</v>
      </c>
      <c r="C78" s="90">
        <v>117.0027</v>
      </c>
      <c r="D78" s="90">
        <v>85.468000000000004</v>
      </c>
      <c r="E78" s="91">
        <v>117.7839</v>
      </c>
      <c r="F78" s="90">
        <f t="shared" si="8"/>
        <v>10066.7543652</v>
      </c>
      <c r="G78" s="89">
        <v>43985</v>
      </c>
      <c r="J78" s="98">
        <f>SUM(F76:F82)</f>
        <v>50856.614558100009</v>
      </c>
    </row>
    <row r="79" spans="1:10" x14ac:dyDescent="0.3">
      <c r="A79" s="89">
        <v>42958</v>
      </c>
      <c r="B79" s="90">
        <v>5000</v>
      </c>
      <c r="C79" s="90">
        <v>114.65049999999999</v>
      </c>
      <c r="D79" s="90">
        <v>43.610999999999997</v>
      </c>
      <c r="E79" s="91">
        <v>117.7839</v>
      </c>
      <c r="F79" s="90">
        <f t="shared" si="8"/>
        <v>5136.6736628999997</v>
      </c>
      <c r="G79" s="89">
        <v>43985</v>
      </c>
    </row>
    <row r="80" spans="1:10" x14ac:dyDescent="0.3">
      <c r="A80" s="89">
        <v>42965</v>
      </c>
      <c r="B80" s="90">
        <v>5000</v>
      </c>
      <c r="C80" s="90">
        <v>115.8291</v>
      </c>
      <c r="D80" s="90">
        <v>43.167000000000002</v>
      </c>
      <c r="E80" s="91">
        <v>117.7839</v>
      </c>
      <c r="F80" s="90">
        <f t="shared" si="8"/>
        <v>5084.3776113000004</v>
      </c>
      <c r="G80" s="89">
        <v>43985</v>
      </c>
    </row>
    <row r="81" spans="1:7" x14ac:dyDescent="0.3">
      <c r="A81" s="89">
        <v>42982</v>
      </c>
      <c r="B81" s="90">
        <v>5000</v>
      </c>
      <c r="C81" s="90">
        <v>116.52070000000001</v>
      </c>
      <c r="D81" s="90">
        <v>42.911000000000001</v>
      </c>
      <c r="E81" s="91">
        <v>117.7839</v>
      </c>
      <c r="F81" s="90">
        <f t="shared" si="8"/>
        <v>5054.2249329000006</v>
      </c>
      <c r="G81" s="89">
        <v>43985</v>
      </c>
    </row>
    <row r="82" spans="1:7" x14ac:dyDescent="0.3">
      <c r="A82" s="89">
        <v>43000</v>
      </c>
      <c r="B82" s="90">
        <v>10000</v>
      </c>
      <c r="C82" s="90">
        <v>117.01049999999999</v>
      </c>
      <c r="D82" s="90">
        <v>85.462000000000003</v>
      </c>
      <c r="E82" s="91">
        <v>117.7839</v>
      </c>
      <c r="F82" s="90">
        <f t="shared" si="8"/>
        <v>10066.047661800001</v>
      </c>
      <c r="G82" s="89">
        <v>43985</v>
      </c>
    </row>
    <row r="83" spans="1:7" x14ac:dyDescent="0.3">
      <c r="A83" s="15">
        <v>43046</v>
      </c>
      <c r="B83">
        <v>5000</v>
      </c>
      <c r="C83">
        <v>120.5479</v>
      </c>
      <c r="D83">
        <v>41.476999999999997</v>
      </c>
      <c r="E83" s="14">
        <f>MF_Summary!G8</f>
        <v>165.79</v>
      </c>
      <c r="F83">
        <f t="shared" ref="F83:F93" si="9">D83*E83</f>
        <v>6876.4718299999995</v>
      </c>
      <c r="G83">
        <f t="shared" ref="G83:G93" si="10">F83-B83</f>
        <v>1876.4718299999995</v>
      </c>
    </row>
    <row r="84" spans="1:7" x14ac:dyDescent="0.3">
      <c r="A84" s="15">
        <v>43048</v>
      </c>
      <c r="B84">
        <v>2000</v>
      </c>
      <c r="C84">
        <v>120.6773</v>
      </c>
      <c r="D84">
        <v>16.573</v>
      </c>
      <c r="E84" s="14">
        <f>MF_Summary!G8</f>
        <v>165.79</v>
      </c>
      <c r="F84">
        <f t="shared" si="9"/>
        <v>2747.6376700000001</v>
      </c>
      <c r="G84">
        <f t="shared" si="10"/>
        <v>747.63767000000007</v>
      </c>
    </row>
    <row r="85" spans="1:7" x14ac:dyDescent="0.3">
      <c r="A85" s="15">
        <v>43052</v>
      </c>
      <c r="B85">
        <v>5000</v>
      </c>
      <c r="C85">
        <v>120.81659999999999</v>
      </c>
      <c r="D85">
        <v>41.384999999999998</v>
      </c>
      <c r="E85" s="14">
        <f>MF_Summary!G8</f>
        <v>165.79</v>
      </c>
      <c r="F85">
        <f t="shared" si="9"/>
        <v>6861.219149999999</v>
      </c>
      <c r="G85">
        <f t="shared" si="10"/>
        <v>1861.219149999999</v>
      </c>
    </row>
    <row r="86" spans="1:7" x14ac:dyDescent="0.3">
      <c r="A86" s="15">
        <v>43066</v>
      </c>
      <c r="B86">
        <v>5000</v>
      </c>
      <c r="C86">
        <v>122.343</v>
      </c>
      <c r="D86">
        <v>40.869</v>
      </c>
      <c r="E86" s="14">
        <f>MF_Summary!G8</f>
        <v>165.79</v>
      </c>
      <c r="F86">
        <f t="shared" si="9"/>
        <v>6775.6715099999992</v>
      </c>
      <c r="G86">
        <f t="shared" si="10"/>
        <v>1775.6715099999992</v>
      </c>
    </row>
    <row r="87" spans="1:7" x14ac:dyDescent="0.3">
      <c r="A87" s="15">
        <v>43069</v>
      </c>
      <c r="B87">
        <v>5000</v>
      </c>
      <c r="C87">
        <v>121.0098</v>
      </c>
      <c r="D87">
        <v>41.319000000000003</v>
      </c>
      <c r="E87" s="14">
        <f>MF_Summary!G8</f>
        <v>165.79</v>
      </c>
      <c r="F87">
        <f t="shared" si="9"/>
        <v>6850.2770099999998</v>
      </c>
      <c r="G87">
        <f t="shared" si="10"/>
        <v>1850.2770099999998</v>
      </c>
    </row>
    <row r="88" spans="1:7" x14ac:dyDescent="0.3">
      <c r="A88" s="15">
        <v>43075</v>
      </c>
      <c r="B88">
        <v>2000</v>
      </c>
      <c r="C88">
        <v>119.4965</v>
      </c>
      <c r="D88">
        <v>16.736999999999998</v>
      </c>
      <c r="E88" s="14">
        <f>MF_Summary!G8</f>
        <v>165.79</v>
      </c>
      <c r="F88">
        <f t="shared" si="9"/>
        <v>2774.8272299999994</v>
      </c>
      <c r="G88">
        <f t="shared" si="10"/>
        <v>774.82722999999942</v>
      </c>
    </row>
    <row r="89" spans="1:7" x14ac:dyDescent="0.3">
      <c r="A89" s="15">
        <v>43081</v>
      </c>
      <c r="B89">
        <v>5000</v>
      </c>
      <c r="C89">
        <v>121.1919</v>
      </c>
      <c r="D89">
        <v>41.256999999999998</v>
      </c>
      <c r="E89" s="14">
        <f>MF_Summary!G8</f>
        <v>165.79</v>
      </c>
      <c r="F89">
        <f t="shared" si="9"/>
        <v>6839.9980299999997</v>
      </c>
      <c r="G89">
        <f t="shared" si="10"/>
        <v>1839.9980299999997</v>
      </c>
    </row>
    <row r="90" spans="1:7" x14ac:dyDescent="0.3">
      <c r="A90" s="15">
        <v>43110</v>
      </c>
      <c r="B90">
        <v>10000</v>
      </c>
      <c r="C90">
        <v>124.057</v>
      </c>
      <c r="D90">
        <v>80.608000000000004</v>
      </c>
      <c r="E90" s="14">
        <f>MF_Summary!G8</f>
        <v>165.79</v>
      </c>
      <c r="F90">
        <f t="shared" si="9"/>
        <v>13364.000319999999</v>
      </c>
      <c r="G90">
        <f t="shared" si="10"/>
        <v>3364.0003199999992</v>
      </c>
    </row>
    <row r="91" spans="1:7" x14ac:dyDescent="0.3">
      <c r="A91" s="15">
        <v>43125</v>
      </c>
      <c r="B91">
        <v>5000</v>
      </c>
      <c r="C91">
        <v>125.11069999999999</v>
      </c>
      <c r="D91">
        <v>39.965000000000003</v>
      </c>
      <c r="E91" s="14">
        <f>MF_Summary!G8</f>
        <v>165.79</v>
      </c>
      <c r="F91">
        <f t="shared" si="9"/>
        <v>6625.7973499999998</v>
      </c>
      <c r="G91">
        <f t="shared" si="10"/>
        <v>1625.7973499999998</v>
      </c>
    </row>
    <row r="92" spans="1:7" x14ac:dyDescent="0.3">
      <c r="A92" s="15">
        <v>43130</v>
      </c>
      <c r="B92">
        <v>5000</v>
      </c>
      <c r="C92">
        <v>124.63120000000001</v>
      </c>
      <c r="D92">
        <v>40.118000000000002</v>
      </c>
      <c r="E92" s="14">
        <f>MF_Summary!G8</f>
        <v>165.79</v>
      </c>
      <c r="F92">
        <f t="shared" si="9"/>
        <v>6651.1632200000004</v>
      </c>
      <c r="G92">
        <f t="shared" si="10"/>
        <v>1651.1632200000004</v>
      </c>
    </row>
    <row r="93" spans="1:7" x14ac:dyDescent="0.3">
      <c r="A93" s="15">
        <v>43133</v>
      </c>
      <c r="B93">
        <v>10000</v>
      </c>
      <c r="C93">
        <v>122.0818</v>
      </c>
      <c r="D93">
        <v>81.912000000000006</v>
      </c>
      <c r="E93" s="14">
        <f>MF_Summary!G8</f>
        <v>165.79</v>
      </c>
      <c r="F93">
        <f t="shared" si="9"/>
        <v>13580.190480000001</v>
      </c>
      <c r="G93">
        <f t="shared" si="10"/>
        <v>3580.1904800000011</v>
      </c>
    </row>
    <row r="94" spans="1:7" x14ac:dyDescent="0.3">
      <c r="C94">
        <f>AVERAGE(C83:C93)</f>
        <v>121.9967</v>
      </c>
    </row>
    <row r="95" spans="1:7" x14ac:dyDescent="0.3">
      <c r="B95" s="76">
        <f>SUM(B76:B93)</f>
        <v>109000</v>
      </c>
      <c r="F95">
        <f>SUM(F76:F93)</f>
        <v>130803.86835810002</v>
      </c>
      <c r="G95">
        <f>SUM(G83:G93)</f>
        <v>20947.253799999995</v>
      </c>
    </row>
    <row r="97" spans="1:10" x14ac:dyDescent="0.3">
      <c r="A97" s="228" t="s">
        <v>15</v>
      </c>
      <c r="B97" s="228"/>
      <c r="C97" s="228"/>
      <c r="D97" s="228"/>
      <c r="E97" s="228"/>
      <c r="F97" s="228"/>
    </row>
    <row r="98" spans="1:10" x14ac:dyDescent="0.3">
      <c r="B98" s="4" t="s">
        <v>147</v>
      </c>
      <c r="C98" s="4" t="s">
        <v>148</v>
      </c>
      <c r="D98" s="4" t="s">
        <v>149</v>
      </c>
      <c r="E98" s="4" t="s">
        <v>150</v>
      </c>
      <c r="F98" s="4" t="s">
        <v>151</v>
      </c>
    </row>
    <row r="99" spans="1:10" x14ac:dyDescent="0.3">
      <c r="A99" s="89">
        <v>42898</v>
      </c>
      <c r="B99" s="90">
        <v>1000</v>
      </c>
      <c r="C99" s="90">
        <v>123.54</v>
      </c>
      <c r="D99" s="90">
        <v>8.1</v>
      </c>
      <c r="E99" s="90">
        <v>129.81</v>
      </c>
      <c r="F99" s="90">
        <f t="shared" ref="F99:F105" si="11">D99*E99</f>
        <v>1051.461</v>
      </c>
      <c r="G99" s="89">
        <v>43984</v>
      </c>
    </row>
    <row r="100" spans="1:10" x14ac:dyDescent="0.3">
      <c r="A100" s="89">
        <v>42907</v>
      </c>
      <c r="B100" s="90">
        <v>5000</v>
      </c>
      <c r="C100" s="90">
        <v>124.04</v>
      </c>
      <c r="D100" s="90">
        <v>40.31</v>
      </c>
      <c r="E100" s="90">
        <v>129.81</v>
      </c>
      <c r="F100" s="90">
        <f t="shared" si="11"/>
        <v>5232.6411000000007</v>
      </c>
      <c r="G100" s="89">
        <v>43984</v>
      </c>
    </row>
    <row r="101" spans="1:10" x14ac:dyDescent="0.3">
      <c r="A101" s="89">
        <v>42937</v>
      </c>
      <c r="B101" s="90">
        <v>50000</v>
      </c>
      <c r="C101" s="90">
        <v>127.75</v>
      </c>
      <c r="D101" s="90">
        <v>391.39</v>
      </c>
      <c r="E101" s="90">
        <v>129.81</v>
      </c>
      <c r="F101" s="90">
        <f t="shared" si="11"/>
        <v>50806.335899999998</v>
      </c>
      <c r="G101" s="89">
        <v>43984</v>
      </c>
      <c r="J101" s="97">
        <f>SUM(F99:F105)</f>
        <v>82607.189699999988</v>
      </c>
    </row>
    <row r="102" spans="1:10" x14ac:dyDescent="0.3">
      <c r="A102" s="89">
        <v>42958</v>
      </c>
      <c r="B102" s="90">
        <v>5000</v>
      </c>
      <c r="C102" s="90">
        <v>124.68</v>
      </c>
      <c r="D102" s="90">
        <v>40.1</v>
      </c>
      <c r="E102" s="90">
        <v>129.81</v>
      </c>
      <c r="F102" s="90">
        <f t="shared" si="11"/>
        <v>5205.3810000000003</v>
      </c>
      <c r="G102" s="89">
        <v>43984</v>
      </c>
    </row>
    <row r="103" spans="1:10" x14ac:dyDescent="0.3">
      <c r="A103" s="89">
        <v>42965</v>
      </c>
      <c r="B103" s="90">
        <v>5000</v>
      </c>
      <c r="C103" s="90">
        <v>126.56</v>
      </c>
      <c r="D103" s="90">
        <v>39.51</v>
      </c>
      <c r="E103" s="90">
        <v>129.81</v>
      </c>
      <c r="F103" s="90">
        <f t="shared" si="11"/>
        <v>5128.7930999999999</v>
      </c>
      <c r="G103" s="89">
        <v>43984</v>
      </c>
    </row>
    <row r="104" spans="1:10" x14ac:dyDescent="0.3">
      <c r="A104" s="89">
        <v>42982</v>
      </c>
      <c r="B104" s="90">
        <v>5000</v>
      </c>
      <c r="C104" s="90">
        <v>127.03</v>
      </c>
      <c r="D104" s="90">
        <v>39.36</v>
      </c>
      <c r="E104" s="90">
        <v>129.81</v>
      </c>
      <c r="F104" s="90">
        <f t="shared" si="11"/>
        <v>5109.3216000000002</v>
      </c>
      <c r="G104" s="89">
        <v>43984</v>
      </c>
    </row>
    <row r="105" spans="1:10" x14ac:dyDescent="0.3">
      <c r="A105" s="89">
        <v>42999</v>
      </c>
      <c r="B105" s="90">
        <v>10000</v>
      </c>
      <c r="C105" s="90">
        <v>128.87</v>
      </c>
      <c r="D105" s="90">
        <v>77.599999999999994</v>
      </c>
      <c r="E105" s="90">
        <v>129.81</v>
      </c>
      <c r="F105" s="90">
        <f t="shared" si="11"/>
        <v>10073.255999999999</v>
      </c>
      <c r="G105" s="89">
        <v>43984</v>
      </c>
    </row>
    <row r="106" spans="1:10" x14ac:dyDescent="0.3">
      <c r="A106" s="89">
        <v>43272</v>
      </c>
      <c r="B106" s="90">
        <v>10584.83</v>
      </c>
      <c r="C106" s="90">
        <v>132.97999999999999</v>
      </c>
      <c r="D106" s="90">
        <v>79.596999999999994</v>
      </c>
      <c r="E106" s="90">
        <v>135.05000000000001</v>
      </c>
      <c r="F106" s="90">
        <f>D106*E106</f>
        <v>10749.574850000001</v>
      </c>
      <c r="G106" s="89">
        <v>44015</v>
      </c>
    </row>
    <row r="107" spans="1:10" x14ac:dyDescent="0.3">
      <c r="C107">
        <f>AVERAGE(C105:C106)</f>
        <v>130.92500000000001</v>
      </c>
    </row>
    <row r="108" spans="1:10" x14ac:dyDescent="0.3">
      <c r="B108">
        <f>SUM(B99:B106)</f>
        <v>91584.83</v>
      </c>
      <c r="D108">
        <f>SUM(D99:D106)</f>
        <v>715.9670000000001</v>
      </c>
      <c r="F108">
        <f>SUM(F99:F106)</f>
        <v>93356.764549999993</v>
      </c>
      <c r="I108">
        <v>149.65</v>
      </c>
    </row>
    <row r="110" spans="1:10" x14ac:dyDescent="0.3">
      <c r="A110" s="228" t="s">
        <v>295</v>
      </c>
      <c r="B110" s="228"/>
      <c r="C110" s="228"/>
      <c r="D110" s="228"/>
      <c r="E110" s="228"/>
      <c r="F110" s="228"/>
    </row>
    <row r="111" spans="1:10" x14ac:dyDescent="0.3">
      <c r="B111" s="4" t="s">
        <v>147</v>
      </c>
      <c r="C111" s="4" t="s">
        <v>148</v>
      </c>
      <c r="D111" s="4" t="s">
        <v>149</v>
      </c>
      <c r="E111" s="4" t="s">
        <v>150</v>
      </c>
      <c r="F111" s="4" t="s">
        <v>151</v>
      </c>
    </row>
    <row r="112" spans="1:10" x14ac:dyDescent="0.3">
      <c r="A112" s="15">
        <v>43776</v>
      </c>
      <c r="B112">
        <v>140000</v>
      </c>
      <c r="C112">
        <v>26.347899999999999</v>
      </c>
      <c r="D112" s="14">
        <v>5313.5159999999996</v>
      </c>
      <c r="E112">
        <v>27.692</v>
      </c>
      <c r="F112">
        <f t="shared" ref="F112:F119" si="12">D112*E112</f>
        <v>147141.885072</v>
      </c>
      <c r="G112">
        <f>F112-B112</f>
        <v>7141.8850720000046</v>
      </c>
    </row>
    <row r="113" spans="1:8" x14ac:dyDescent="0.3">
      <c r="A113" s="15">
        <v>43782</v>
      </c>
      <c r="B113">
        <v>100000</v>
      </c>
      <c r="C113">
        <v>26.374600000000001</v>
      </c>
      <c r="D113" s="14">
        <v>3791.527</v>
      </c>
      <c r="E113">
        <v>27.692</v>
      </c>
      <c r="F113">
        <f t="shared" si="12"/>
        <v>104994.965684</v>
      </c>
      <c r="G113">
        <f t="shared" ref="G113:G119" si="13">F113-B113</f>
        <v>4994.9656839999952</v>
      </c>
    </row>
    <row r="114" spans="1:8" x14ac:dyDescent="0.3">
      <c r="A114" s="15">
        <v>43783</v>
      </c>
      <c r="B114">
        <v>100000</v>
      </c>
      <c r="C114">
        <v>26.368300000000001</v>
      </c>
      <c r="D114" s="14">
        <v>3792.433</v>
      </c>
      <c r="E114">
        <v>27.692</v>
      </c>
      <c r="F114">
        <f t="shared" si="12"/>
        <v>105020.054636</v>
      </c>
      <c r="G114">
        <f t="shared" si="13"/>
        <v>5020.0546360000008</v>
      </c>
    </row>
    <row r="115" spans="1:8" x14ac:dyDescent="0.3">
      <c r="A115" s="15">
        <v>43784</v>
      </c>
      <c r="B115">
        <v>150000</v>
      </c>
      <c r="C115">
        <v>26.359300000000001</v>
      </c>
      <c r="D115" s="14">
        <v>5690.5910000000003</v>
      </c>
      <c r="E115">
        <v>27.692</v>
      </c>
      <c r="F115">
        <f t="shared" si="12"/>
        <v>157583.84597200001</v>
      </c>
      <c r="G115">
        <f t="shared" si="13"/>
        <v>7583.8459720000101</v>
      </c>
    </row>
    <row r="116" spans="1:8" x14ac:dyDescent="0.3">
      <c r="A116" s="15">
        <v>43798</v>
      </c>
      <c r="B116">
        <v>110000</v>
      </c>
      <c r="C116">
        <v>26.422499999999999</v>
      </c>
      <c r="D116" s="14">
        <v>4163.1189999999997</v>
      </c>
      <c r="E116">
        <v>27.692</v>
      </c>
      <c r="F116">
        <f t="shared" si="12"/>
        <v>115285.09134799999</v>
      </c>
      <c r="G116">
        <f t="shared" si="13"/>
        <v>5285.0913479999872</v>
      </c>
    </row>
    <row r="117" spans="1:8" x14ac:dyDescent="0.3">
      <c r="A117" s="15">
        <v>43822</v>
      </c>
      <c r="B117">
        <v>10000</v>
      </c>
      <c r="C117">
        <v>26.4955</v>
      </c>
      <c r="D117" s="14">
        <v>377.423</v>
      </c>
      <c r="E117">
        <v>27.692</v>
      </c>
      <c r="F117">
        <f t="shared" si="12"/>
        <v>10451.597716</v>
      </c>
      <c r="G117">
        <f t="shared" si="13"/>
        <v>451.59771600000022</v>
      </c>
    </row>
    <row r="118" spans="1:8" x14ac:dyDescent="0.3">
      <c r="A118" s="15">
        <v>43823</v>
      </c>
      <c r="B118">
        <v>10000</v>
      </c>
      <c r="C118">
        <v>26.486999999999998</v>
      </c>
      <c r="D118" s="14">
        <v>377.54399999999998</v>
      </c>
      <c r="E118">
        <v>27.692</v>
      </c>
      <c r="F118">
        <f t="shared" si="12"/>
        <v>10454.948447999999</v>
      </c>
      <c r="G118">
        <f t="shared" si="13"/>
        <v>454.94844799999919</v>
      </c>
    </row>
    <row r="119" spans="1:8" x14ac:dyDescent="0.3">
      <c r="A119" s="15">
        <v>43825</v>
      </c>
      <c r="B119">
        <v>10000</v>
      </c>
      <c r="C119">
        <v>26.499500000000001</v>
      </c>
      <c r="D119" s="14">
        <v>377.36599999999999</v>
      </c>
      <c r="E119">
        <v>27.692</v>
      </c>
      <c r="F119">
        <f t="shared" si="12"/>
        <v>10450.019272</v>
      </c>
      <c r="G119">
        <f t="shared" si="13"/>
        <v>450.01927199999955</v>
      </c>
    </row>
    <row r="121" spans="1:8" x14ac:dyDescent="0.3">
      <c r="B121">
        <f>SUM(B112:B119)</f>
        <v>630000</v>
      </c>
      <c r="F121">
        <f>SUM(F112:F119)</f>
        <v>661382.40814800002</v>
      </c>
      <c r="G121" t="s">
        <v>340</v>
      </c>
    </row>
    <row r="123" spans="1:8" x14ac:dyDescent="0.3">
      <c r="A123" s="228" t="s">
        <v>304</v>
      </c>
      <c r="B123" s="228"/>
      <c r="C123" s="228"/>
      <c r="D123" s="228"/>
      <c r="E123" s="228"/>
      <c r="F123" s="228"/>
    </row>
    <row r="124" spans="1:8" x14ac:dyDescent="0.3">
      <c r="B124" s="4" t="s">
        <v>147</v>
      </c>
      <c r="C124" s="4" t="s">
        <v>148</v>
      </c>
      <c r="D124" s="4" t="s">
        <v>149</v>
      </c>
      <c r="E124" s="4" t="s">
        <v>150</v>
      </c>
      <c r="F124" s="4" t="s">
        <v>151</v>
      </c>
    </row>
    <row r="125" spans="1:8" x14ac:dyDescent="0.3">
      <c r="A125" s="77">
        <v>43878</v>
      </c>
      <c r="B125" s="78">
        <v>50000</v>
      </c>
      <c r="C125">
        <v>29.507999999999999</v>
      </c>
      <c r="D125" s="13">
        <v>1694.4559999999999</v>
      </c>
      <c r="E125">
        <v>36.841999999999999</v>
      </c>
      <c r="F125">
        <f>E125*D125</f>
        <v>62427.147951999992</v>
      </c>
      <c r="G125">
        <f>F125-B125</f>
        <v>12427.147951999992</v>
      </c>
      <c r="H125" s="15">
        <v>44253</v>
      </c>
    </row>
    <row r="126" spans="1:8" x14ac:dyDescent="0.3">
      <c r="A126" s="77">
        <v>43885</v>
      </c>
      <c r="B126" s="79">
        <v>10000</v>
      </c>
      <c r="C126">
        <v>29.350999999999999</v>
      </c>
      <c r="D126">
        <v>340.70400000000001</v>
      </c>
      <c r="E126">
        <v>36.841999999999999</v>
      </c>
      <c r="F126">
        <f>E126*D126</f>
        <v>12552.216768</v>
      </c>
      <c r="G126">
        <f>F126-B126</f>
        <v>2552.2167680000002</v>
      </c>
      <c r="H126" s="15">
        <v>44253</v>
      </c>
    </row>
    <row r="128" spans="1:8" x14ac:dyDescent="0.3">
      <c r="A128" s="228" t="s">
        <v>157</v>
      </c>
      <c r="B128" s="228"/>
      <c r="C128" s="228"/>
      <c r="D128" s="228"/>
      <c r="E128" s="228"/>
      <c r="F128" s="228"/>
    </row>
    <row r="129" spans="1:10" x14ac:dyDescent="0.3">
      <c r="B129" s="4" t="s">
        <v>147</v>
      </c>
      <c r="C129" s="4" t="s">
        <v>148</v>
      </c>
      <c r="D129" s="4" t="s">
        <v>149</v>
      </c>
      <c r="E129" s="4" t="s">
        <v>150</v>
      </c>
      <c r="F129" s="4" t="s">
        <v>151</v>
      </c>
      <c r="G129" s="4"/>
    </row>
    <row r="130" spans="1:10" x14ac:dyDescent="0.3">
      <c r="A130" s="89">
        <v>42867</v>
      </c>
      <c r="B130" s="90">
        <v>500</v>
      </c>
      <c r="C130" s="90">
        <v>25.22</v>
      </c>
      <c r="D130" s="90">
        <v>19.826000000000001</v>
      </c>
      <c r="E130" s="90">
        <v>26.957000000000001</v>
      </c>
      <c r="F130" s="90">
        <f>D130*E130</f>
        <v>534.44948199999999</v>
      </c>
      <c r="G130">
        <f>F130-B130</f>
        <v>34.449481999999989</v>
      </c>
      <c r="H130" s="89">
        <v>44015</v>
      </c>
    </row>
    <row r="131" spans="1:10" x14ac:dyDescent="0.3">
      <c r="A131" s="89">
        <v>42905</v>
      </c>
      <c r="B131" s="90">
        <v>5000</v>
      </c>
      <c r="C131" s="90">
        <v>25.971</v>
      </c>
      <c r="D131" s="90">
        <v>192.52199999999999</v>
      </c>
      <c r="E131" s="90">
        <v>26.957000000000001</v>
      </c>
      <c r="F131" s="90">
        <f>D131*E131</f>
        <v>5189.8155539999998</v>
      </c>
      <c r="G131">
        <f>F131-B131</f>
        <v>189.81555399999979</v>
      </c>
      <c r="H131" s="89">
        <v>44015</v>
      </c>
    </row>
    <row r="132" spans="1:10" x14ac:dyDescent="0.3">
      <c r="A132" s="89">
        <v>42929</v>
      </c>
      <c r="B132" s="90">
        <v>60000</v>
      </c>
      <c r="C132" s="90">
        <v>26.286000000000001</v>
      </c>
      <c r="D132" s="90">
        <v>2282.5830000000001</v>
      </c>
      <c r="E132" s="90">
        <v>26.957000000000001</v>
      </c>
      <c r="F132" s="90">
        <f>D132*E132</f>
        <v>61531.589931000002</v>
      </c>
      <c r="G132">
        <f>F132-B132</f>
        <v>1531.5899310000023</v>
      </c>
      <c r="H132" s="89">
        <v>44015</v>
      </c>
    </row>
    <row r="133" spans="1:10" x14ac:dyDescent="0.3">
      <c r="A133" s="89">
        <v>42933</v>
      </c>
      <c r="B133" s="90">
        <v>32000</v>
      </c>
      <c r="C133" s="90">
        <v>26.298999999999999</v>
      </c>
      <c r="D133" s="90">
        <v>1216.777</v>
      </c>
      <c r="E133" s="90">
        <v>26.957000000000001</v>
      </c>
      <c r="F133" s="90">
        <f>D133*E133</f>
        <v>32800.657589000002</v>
      </c>
      <c r="G133">
        <f>F133-B133</f>
        <v>800.65758900000219</v>
      </c>
      <c r="H133" s="89">
        <v>44015</v>
      </c>
    </row>
    <row r="134" spans="1:10" x14ac:dyDescent="0.3">
      <c r="A134" s="15">
        <v>43136</v>
      </c>
      <c r="B134">
        <v>10000</v>
      </c>
      <c r="C134">
        <v>27.533999999999999</v>
      </c>
      <c r="D134">
        <v>363.18700000000001</v>
      </c>
      <c r="E134">
        <v>34.743000000000002</v>
      </c>
      <c r="F134">
        <f>D134*E134</f>
        <v>12618.205941000002</v>
      </c>
      <c r="G134">
        <f>F134-B134</f>
        <v>2618.205941000002</v>
      </c>
      <c r="H134" s="15">
        <v>44253</v>
      </c>
    </row>
    <row r="135" spans="1:10" x14ac:dyDescent="0.3">
      <c r="C135">
        <f>AVERAGE(C130:C134)</f>
        <v>26.262</v>
      </c>
    </row>
    <row r="136" spans="1:10" x14ac:dyDescent="0.3">
      <c r="B136">
        <f>SUM(B130:B134)</f>
        <v>107500</v>
      </c>
      <c r="F136">
        <f>SUM(F130:F134)</f>
        <v>112674.71849700001</v>
      </c>
    </row>
    <row r="138" spans="1:10" x14ac:dyDescent="0.3">
      <c r="A138" s="228" t="s">
        <v>299</v>
      </c>
      <c r="B138" s="228"/>
      <c r="C138" s="228"/>
      <c r="D138" s="228"/>
      <c r="E138" s="228"/>
      <c r="F138" s="228"/>
    </row>
    <row r="139" spans="1:10" x14ac:dyDescent="0.3">
      <c r="B139" s="4" t="s">
        <v>147</v>
      </c>
      <c r="C139" s="4" t="s">
        <v>148</v>
      </c>
      <c r="D139" s="4" t="s">
        <v>149</v>
      </c>
      <c r="E139" s="4" t="s">
        <v>150</v>
      </c>
      <c r="F139" s="4" t="s">
        <v>151</v>
      </c>
      <c r="G139" s="4" t="s">
        <v>332</v>
      </c>
    </row>
    <row r="140" spans="1:10" x14ac:dyDescent="0.3">
      <c r="A140" s="90" t="s">
        <v>300</v>
      </c>
      <c r="B140" s="90">
        <v>5000</v>
      </c>
      <c r="C140" s="90">
        <v>13.003</v>
      </c>
      <c r="D140" s="90">
        <v>384.52699999999999</v>
      </c>
      <c r="E140" s="91">
        <v>14.853999999999999</v>
      </c>
      <c r="F140" s="92">
        <f>D140*E140</f>
        <v>5711.7640579999997</v>
      </c>
      <c r="G140" s="89">
        <v>43984</v>
      </c>
    </row>
    <row r="141" spans="1:10" x14ac:dyDescent="0.3">
      <c r="A141" s="90" t="s">
        <v>165</v>
      </c>
      <c r="B141" s="90">
        <v>5000</v>
      </c>
      <c r="C141" s="90">
        <v>13.484999999999999</v>
      </c>
      <c r="D141" s="90">
        <v>370.78199999999998</v>
      </c>
      <c r="E141" s="91">
        <v>14.853999999999999</v>
      </c>
      <c r="F141" s="92">
        <f t="shared" ref="F141:F148" si="14">D141*E141</f>
        <v>5507.5958279999995</v>
      </c>
      <c r="G141" s="89">
        <v>43984</v>
      </c>
    </row>
    <row r="142" spans="1:10" x14ac:dyDescent="0.3">
      <c r="A142" s="93">
        <v>42802</v>
      </c>
      <c r="B142" s="90">
        <v>10000</v>
      </c>
      <c r="C142" s="90">
        <v>13.542</v>
      </c>
      <c r="D142" s="90">
        <v>738.44299999999998</v>
      </c>
      <c r="E142" s="91">
        <v>14.853999999999999</v>
      </c>
      <c r="F142" s="92">
        <f t="shared" si="14"/>
        <v>10968.832321999998</v>
      </c>
      <c r="G142" s="89">
        <v>43984</v>
      </c>
    </row>
    <row r="143" spans="1:10" x14ac:dyDescent="0.3">
      <c r="A143" s="93">
        <v>42955</v>
      </c>
      <c r="B143" s="90">
        <v>5000</v>
      </c>
      <c r="C143" s="90">
        <v>13.587</v>
      </c>
      <c r="D143" s="90">
        <v>367.99900000000002</v>
      </c>
      <c r="E143" s="91">
        <v>14.853999999999999</v>
      </c>
      <c r="F143" s="92">
        <f t="shared" si="14"/>
        <v>5466.2571459999999</v>
      </c>
      <c r="G143" s="89">
        <v>43984</v>
      </c>
      <c r="J143" s="97">
        <f>SUM(F140:F148)</f>
        <v>59952.912683999995</v>
      </c>
    </row>
    <row r="144" spans="1:10" x14ac:dyDescent="0.3">
      <c r="A144" s="93">
        <v>43047</v>
      </c>
      <c r="B144" s="90">
        <v>5000</v>
      </c>
      <c r="C144" s="90">
        <v>13.256</v>
      </c>
      <c r="D144" s="90">
        <v>377.18799999999999</v>
      </c>
      <c r="E144" s="91">
        <v>14.853999999999999</v>
      </c>
      <c r="F144" s="92">
        <f t="shared" si="14"/>
        <v>5602.7505519999995</v>
      </c>
      <c r="G144" s="89">
        <v>43984</v>
      </c>
    </row>
    <row r="145" spans="1:9" x14ac:dyDescent="0.3">
      <c r="A145" s="90" t="s">
        <v>167</v>
      </c>
      <c r="B145" s="90">
        <v>5000</v>
      </c>
      <c r="C145" s="90">
        <v>13.44</v>
      </c>
      <c r="D145" s="90">
        <v>372.024</v>
      </c>
      <c r="E145" s="91">
        <v>14.853999999999999</v>
      </c>
      <c r="F145" s="92">
        <f t="shared" si="14"/>
        <v>5526.0444959999995</v>
      </c>
      <c r="G145" s="89">
        <v>43984</v>
      </c>
      <c r="I145">
        <f>SUM(D140:D148)</f>
        <v>4036.1459999999997</v>
      </c>
    </row>
    <row r="146" spans="1:9" x14ac:dyDescent="0.3">
      <c r="A146" s="93">
        <v>42834</v>
      </c>
      <c r="B146" s="90">
        <v>5000</v>
      </c>
      <c r="C146" s="90">
        <v>13.603999999999999</v>
      </c>
      <c r="D146" s="90">
        <v>367.53899999999999</v>
      </c>
      <c r="E146" s="91">
        <v>14.853999999999999</v>
      </c>
      <c r="F146" s="92">
        <f t="shared" si="14"/>
        <v>5459.4243059999999</v>
      </c>
      <c r="G146" s="89">
        <v>43984</v>
      </c>
      <c r="I146">
        <v>14.853999999999999</v>
      </c>
    </row>
    <row r="147" spans="1:9" x14ac:dyDescent="0.3">
      <c r="A147" s="90" t="s">
        <v>169</v>
      </c>
      <c r="B147" s="90">
        <v>5000</v>
      </c>
      <c r="C147" s="90">
        <v>13.856999999999999</v>
      </c>
      <c r="D147" s="90">
        <v>360.82799999999997</v>
      </c>
      <c r="E147" s="91">
        <v>14.853999999999999</v>
      </c>
      <c r="F147" s="92">
        <f t="shared" si="14"/>
        <v>5359.7391119999993</v>
      </c>
      <c r="G147" s="89">
        <v>43984</v>
      </c>
      <c r="I147">
        <f>I145*I146</f>
        <v>59952.912683999995</v>
      </c>
    </row>
    <row r="148" spans="1:9" x14ac:dyDescent="0.3">
      <c r="A148" s="93">
        <v>43136</v>
      </c>
      <c r="B148" s="90">
        <v>10000</v>
      </c>
      <c r="C148" s="90">
        <v>14.351000000000001</v>
      </c>
      <c r="D148" s="90">
        <v>696.81600000000003</v>
      </c>
      <c r="E148" s="91">
        <v>14.853999999999999</v>
      </c>
      <c r="F148" s="92">
        <f t="shared" si="14"/>
        <v>10350.504864</v>
      </c>
      <c r="G148" s="89">
        <v>43984</v>
      </c>
    </row>
    <row r="149" spans="1:9" x14ac:dyDescent="0.3">
      <c r="A149" s="77">
        <v>43874</v>
      </c>
      <c r="B149" s="78">
        <v>100000</v>
      </c>
      <c r="C149">
        <v>16.992999999999999</v>
      </c>
      <c r="D149">
        <v>5884.7759999999998</v>
      </c>
      <c r="E149">
        <f>MF_Summary!G7</f>
        <v>21.125</v>
      </c>
      <c r="F149">
        <f>E149*D149</f>
        <v>124315.893</v>
      </c>
      <c r="G149">
        <f>F149-B149</f>
        <v>24315.892999999996</v>
      </c>
      <c r="H149" s="15">
        <v>44244</v>
      </c>
    </row>
    <row r="150" spans="1:9" x14ac:dyDescent="0.3">
      <c r="C150">
        <f>AVERAGE(C140:C149)</f>
        <v>13.911799999999999</v>
      </c>
    </row>
    <row r="151" spans="1:9" x14ac:dyDescent="0.3">
      <c r="A151" s="228" t="s">
        <v>302</v>
      </c>
      <c r="B151" s="228"/>
      <c r="C151" s="228"/>
      <c r="D151" s="228"/>
      <c r="E151" s="228"/>
      <c r="F151" s="228"/>
    </row>
    <row r="152" spans="1:9" x14ac:dyDescent="0.3">
      <c r="B152" s="4" t="s">
        <v>147</v>
      </c>
      <c r="C152" s="4" t="s">
        <v>148</v>
      </c>
      <c r="D152" s="4" t="s">
        <v>149</v>
      </c>
      <c r="E152" s="4" t="s">
        <v>150</v>
      </c>
      <c r="F152" s="4" t="s">
        <v>151</v>
      </c>
    </row>
    <row r="153" spans="1:9" x14ac:dyDescent="0.3">
      <c r="A153" s="77">
        <v>43880</v>
      </c>
      <c r="B153" s="78">
        <v>50000</v>
      </c>
      <c r="C153">
        <v>12.2081</v>
      </c>
      <c r="D153" s="13">
        <v>4095.6410000000001</v>
      </c>
      <c r="E153" s="14">
        <v>14.153700000000001</v>
      </c>
      <c r="F153">
        <f>E153*D153</f>
        <v>57968.474021700007</v>
      </c>
      <c r="G153">
        <f>F153-B153</f>
        <v>7968.4740217000071</v>
      </c>
      <c r="H153" s="15">
        <v>44253</v>
      </c>
    </row>
    <row r="154" spans="1:9" x14ac:dyDescent="0.3">
      <c r="A154" s="77">
        <v>43885</v>
      </c>
      <c r="B154" s="79">
        <v>10000</v>
      </c>
      <c r="C154">
        <v>12.026899999999999</v>
      </c>
      <c r="D154">
        <v>831.46900000000005</v>
      </c>
      <c r="E154" s="14">
        <v>14.153700000000001</v>
      </c>
      <c r="F154">
        <f>E154*D154</f>
        <v>11768.362785300002</v>
      </c>
      <c r="G154">
        <f>F154-B154</f>
        <v>1768.3627853000016</v>
      </c>
      <c r="H154" s="15">
        <v>44253</v>
      </c>
    </row>
    <row r="157" spans="1:9" x14ac:dyDescent="0.3">
      <c r="A157" s="228" t="s">
        <v>307</v>
      </c>
      <c r="B157" s="228"/>
      <c r="C157" s="228"/>
      <c r="D157" s="228"/>
      <c r="E157" s="228"/>
      <c r="F157" s="228"/>
    </row>
    <row r="158" spans="1:9" x14ac:dyDescent="0.3">
      <c r="B158" s="4" t="s">
        <v>147</v>
      </c>
      <c r="C158" s="4" t="s">
        <v>148</v>
      </c>
      <c r="D158" s="4" t="s">
        <v>149</v>
      </c>
      <c r="E158" s="4" t="s">
        <v>150</v>
      </c>
      <c r="F158" s="4" t="s">
        <v>151</v>
      </c>
    </row>
    <row r="159" spans="1:9" x14ac:dyDescent="0.3">
      <c r="A159" s="15">
        <v>42530</v>
      </c>
      <c r="B159">
        <v>2000</v>
      </c>
      <c r="C159" s="101" t="s">
        <v>341</v>
      </c>
      <c r="D159" s="69">
        <v>46.664000000000001</v>
      </c>
      <c r="E159" s="4"/>
      <c r="F159" s="4"/>
    </row>
    <row r="160" spans="1:9" x14ac:dyDescent="0.3">
      <c r="A160" s="15">
        <v>42545</v>
      </c>
      <c r="B160">
        <v>20000</v>
      </c>
      <c r="C160" s="101" t="s">
        <v>342</v>
      </c>
      <c r="D160" s="69">
        <v>474.06799999999998</v>
      </c>
      <c r="E160" s="4"/>
      <c r="F160" s="4"/>
    </row>
    <row r="161" spans="1:7" x14ac:dyDescent="0.3">
      <c r="A161" s="15">
        <v>42562</v>
      </c>
      <c r="B161">
        <v>2000</v>
      </c>
      <c r="C161" s="101" t="s">
        <v>343</v>
      </c>
      <c r="D161" s="69">
        <v>45.375999999999998</v>
      </c>
      <c r="E161" s="4"/>
      <c r="F161" s="4"/>
    </row>
    <row r="162" spans="1:7" x14ac:dyDescent="0.3">
      <c r="A162" s="15">
        <v>42579</v>
      </c>
      <c r="B162">
        <v>8000</v>
      </c>
      <c r="C162" s="111">
        <v>45.4099</v>
      </c>
      <c r="D162" s="69">
        <v>176.173</v>
      </c>
      <c r="E162" s="14">
        <v>60.606999999999999</v>
      </c>
      <c r="F162" s="68">
        <f>E162*D162</f>
        <v>10677.317010999999</v>
      </c>
      <c r="G162">
        <f>F162-B162</f>
        <v>2677.3170109999992</v>
      </c>
    </row>
    <row r="163" spans="1:7" x14ac:dyDescent="0.3">
      <c r="A163" s="71" t="s">
        <v>317</v>
      </c>
      <c r="B163" s="70">
        <v>2000</v>
      </c>
      <c r="C163" s="69">
        <v>45.206000000000003</v>
      </c>
      <c r="D163" s="69">
        <v>44.241999999999997</v>
      </c>
      <c r="E163" s="14">
        <v>60.606999999999999</v>
      </c>
      <c r="F163" s="68">
        <f>E163*D163</f>
        <v>2681.3748939999996</v>
      </c>
      <c r="G163">
        <f>F163-B163</f>
        <v>681.37489399999959</v>
      </c>
    </row>
    <row r="164" spans="1:7" x14ac:dyDescent="0.3">
      <c r="A164" s="71" t="s">
        <v>316</v>
      </c>
      <c r="B164" s="70">
        <v>10000</v>
      </c>
      <c r="C164" s="69">
        <v>45.515500000000003</v>
      </c>
      <c r="D164" s="69">
        <v>219.70500000000001</v>
      </c>
      <c r="E164" s="14">
        <v>60.606999999999999</v>
      </c>
      <c r="F164" s="68">
        <f t="shared" ref="F164:F174" si="15">E164*D164</f>
        <v>13315.660935</v>
      </c>
      <c r="G164">
        <f t="shared" ref="G164:G174" si="16">F164-B164</f>
        <v>3315.6609349999999</v>
      </c>
    </row>
    <row r="165" spans="1:7" x14ac:dyDescent="0.3">
      <c r="A165" s="71" t="s">
        <v>315</v>
      </c>
      <c r="B165" s="70">
        <v>9000</v>
      </c>
      <c r="C165" s="69">
        <v>46.642800000000001</v>
      </c>
      <c r="D165" s="69">
        <v>192.95599999999999</v>
      </c>
      <c r="E165" s="14">
        <v>60.606999999999999</v>
      </c>
      <c r="F165" s="68">
        <f t="shared" si="15"/>
        <v>11694.484291999999</v>
      </c>
      <c r="G165">
        <f t="shared" si="16"/>
        <v>2694.4842919999992</v>
      </c>
    </row>
    <row r="166" spans="1:7" x14ac:dyDescent="0.3">
      <c r="A166" s="71" t="s">
        <v>314</v>
      </c>
      <c r="B166" s="70">
        <v>2000</v>
      </c>
      <c r="C166" s="69">
        <v>45.920499999999997</v>
      </c>
      <c r="D166" s="69">
        <v>43.554000000000002</v>
      </c>
      <c r="E166" s="14">
        <v>60.606999999999999</v>
      </c>
      <c r="F166" s="68">
        <f t="shared" si="15"/>
        <v>2639.6772780000001</v>
      </c>
      <c r="G166">
        <f t="shared" si="16"/>
        <v>639.67727800000011</v>
      </c>
    </row>
    <row r="167" spans="1:7" x14ac:dyDescent="0.3">
      <c r="A167" s="71" t="s">
        <v>313</v>
      </c>
      <c r="B167" s="70">
        <v>20000</v>
      </c>
      <c r="C167" s="69">
        <v>46.393900000000002</v>
      </c>
      <c r="D167" s="69">
        <v>431.09100000000001</v>
      </c>
      <c r="E167" s="14">
        <v>60.606999999999999</v>
      </c>
      <c r="F167" s="68">
        <f t="shared" si="15"/>
        <v>26127.132237000002</v>
      </c>
      <c r="G167">
        <f t="shared" si="16"/>
        <v>6127.1322370000016</v>
      </c>
    </row>
    <row r="168" spans="1:7" x14ac:dyDescent="0.3">
      <c r="A168" s="71" t="s">
        <v>312</v>
      </c>
      <c r="B168" s="70">
        <v>20000</v>
      </c>
      <c r="C168" s="69">
        <v>45.726300000000002</v>
      </c>
      <c r="D168" s="69">
        <v>437.38499999999999</v>
      </c>
      <c r="E168" s="14">
        <v>60.606999999999999</v>
      </c>
      <c r="F168" s="68">
        <f t="shared" si="15"/>
        <v>26508.592694999999</v>
      </c>
      <c r="G168">
        <f t="shared" si="16"/>
        <v>6508.5926949999994</v>
      </c>
    </row>
    <row r="169" spans="1:7" x14ac:dyDescent="0.3">
      <c r="A169" s="71" t="s">
        <v>311</v>
      </c>
      <c r="B169" s="70">
        <v>20000</v>
      </c>
      <c r="C169" s="69">
        <v>46.485300000000002</v>
      </c>
      <c r="D169" s="69">
        <v>430.24400000000003</v>
      </c>
      <c r="E169" s="14">
        <v>60.606999999999999</v>
      </c>
      <c r="F169" s="68">
        <f t="shared" si="15"/>
        <v>26075.798108000003</v>
      </c>
      <c r="G169">
        <f t="shared" si="16"/>
        <v>6075.7981080000027</v>
      </c>
    </row>
    <row r="170" spans="1:7" x14ac:dyDescent="0.3">
      <c r="A170" s="71" t="s">
        <v>311</v>
      </c>
      <c r="B170" s="70">
        <v>2000</v>
      </c>
      <c r="C170" s="69">
        <v>46.485300000000002</v>
      </c>
      <c r="D170" s="69">
        <v>43.024000000000001</v>
      </c>
      <c r="E170" s="14">
        <v>60.606999999999999</v>
      </c>
      <c r="F170" s="68">
        <f t="shared" si="15"/>
        <v>2607.5555680000002</v>
      </c>
      <c r="G170">
        <f t="shared" si="16"/>
        <v>607.55556800000022</v>
      </c>
    </row>
    <row r="171" spans="1:7" x14ac:dyDescent="0.3">
      <c r="A171" s="71" t="s">
        <v>310</v>
      </c>
      <c r="B171" s="70">
        <v>10000</v>
      </c>
      <c r="C171" s="69">
        <v>45.550400000000003</v>
      </c>
      <c r="D171" s="69">
        <v>219.53700000000001</v>
      </c>
      <c r="E171" s="14">
        <v>60.606999999999999</v>
      </c>
      <c r="F171" s="68">
        <f t="shared" si="15"/>
        <v>13305.478959</v>
      </c>
      <c r="G171">
        <f t="shared" si="16"/>
        <v>3305.478959</v>
      </c>
    </row>
    <row r="172" spans="1:7" x14ac:dyDescent="0.3">
      <c r="A172" s="71" t="s">
        <v>309</v>
      </c>
      <c r="B172" s="70">
        <v>2000</v>
      </c>
      <c r="C172" s="69">
        <v>46.555399999999999</v>
      </c>
      <c r="D172" s="69">
        <v>42.96</v>
      </c>
      <c r="E172" s="14">
        <v>60.606999999999999</v>
      </c>
      <c r="F172" s="68">
        <f t="shared" si="15"/>
        <v>2603.6767199999999</v>
      </c>
      <c r="G172">
        <f t="shared" si="16"/>
        <v>603.67671999999993</v>
      </c>
    </row>
    <row r="173" spans="1:7" x14ac:dyDescent="0.3">
      <c r="A173" s="71" t="s">
        <v>308</v>
      </c>
      <c r="B173" s="70">
        <v>2000</v>
      </c>
      <c r="C173" s="69">
        <v>44.722499999999997</v>
      </c>
      <c r="D173" s="69">
        <v>44.72</v>
      </c>
      <c r="E173" s="14">
        <v>60.606999999999999</v>
      </c>
      <c r="F173" s="68">
        <f t="shared" si="15"/>
        <v>2710.3450399999997</v>
      </c>
      <c r="G173">
        <f t="shared" si="16"/>
        <v>710.3450399999997</v>
      </c>
    </row>
    <row r="174" spans="1:7" x14ac:dyDescent="0.3">
      <c r="A174" s="71" t="s">
        <v>171</v>
      </c>
      <c r="B174" s="70">
        <v>10000</v>
      </c>
      <c r="C174" s="70">
        <v>58.398099999999999</v>
      </c>
      <c r="D174" s="69">
        <v>171.238</v>
      </c>
      <c r="E174" s="14">
        <v>60.606999999999999</v>
      </c>
      <c r="F174" s="68">
        <f t="shared" si="15"/>
        <v>10378.221465999999</v>
      </c>
      <c r="G174">
        <f t="shared" si="16"/>
        <v>378.22146599999905</v>
      </c>
    </row>
    <row r="175" spans="1:7" x14ac:dyDescent="0.3">
      <c r="C175">
        <f>AVERAGE(C163:C174)</f>
        <v>46.966833333333341</v>
      </c>
      <c r="D175">
        <f>SUM(D163:D174)</f>
        <v>2320.6559999999995</v>
      </c>
    </row>
    <row r="177" spans="1:13" x14ac:dyDescent="0.3">
      <c r="A177" s="228" t="s">
        <v>189</v>
      </c>
      <c r="B177" s="228"/>
      <c r="C177" s="228"/>
      <c r="D177" s="228"/>
      <c r="E177" s="228"/>
      <c r="F177" s="228"/>
    </row>
    <row r="178" spans="1:13" x14ac:dyDescent="0.3">
      <c r="B178" s="4" t="s">
        <v>147</v>
      </c>
      <c r="C178" s="4" t="s">
        <v>148</v>
      </c>
      <c r="D178" s="4" t="s">
        <v>149</v>
      </c>
      <c r="E178" s="4" t="s">
        <v>150</v>
      </c>
      <c r="F178" s="4" t="s">
        <v>151</v>
      </c>
    </row>
    <row r="179" spans="1:13" x14ac:dyDescent="0.3">
      <c r="A179" s="15">
        <v>43215</v>
      </c>
      <c r="B179">
        <v>5000</v>
      </c>
      <c r="C179">
        <v>80.959999999999994</v>
      </c>
      <c r="D179" s="14">
        <v>61.759</v>
      </c>
      <c r="E179" s="14">
        <v>101.72</v>
      </c>
      <c r="F179">
        <f>D179*E179</f>
        <v>6282.1254799999997</v>
      </c>
      <c r="G179">
        <f>F179-B179</f>
        <v>1282.1254799999997</v>
      </c>
      <c r="H179" s="110">
        <v>44253</v>
      </c>
    </row>
    <row r="180" spans="1:13" x14ac:dyDescent="0.3">
      <c r="A180" s="15">
        <v>43224</v>
      </c>
      <c r="B180">
        <v>5000</v>
      </c>
      <c r="C180" s="14">
        <v>80.52</v>
      </c>
      <c r="D180">
        <v>62.095999999999997</v>
      </c>
      <c r="E180" s="14">
        <v>101.72</v>
      </c>
      <c r="F180">
        <f t="shared" ref="F180:F185" si="17">D180*E180</f>
        <v>6316.4051199999994</v>
      </c>
      <c r="G180">
        <f t="shared" ref="G180:G185" si="18">F180-B180</f>
        <v>1316.4051199999994</v>
      </c>
      <c r="H180" s="110">
        <v>44253</v>
      </c>
    </row>
    <row r="181" spans="1:13" x14ac:dyDescent="0.3">
      <c r="A181" s="15">
        <v>43236</v>
      </c>
      <c r="B181">
        <v>5000</v>
      </c>
      <c r="C181">
        <v>79.52</v>
      </c>
      <c r="D181">
        <v>62.877000000000002</v>
      </c>
      <c r="E181" s="14">
        <v>101.72</v>
      </c>
      <c r="F181">
        <f t="shared" si="17"/>
        <v>6395.8484399999998</v>
      </c>
      <c r="G181">
        <f t="shared" si="18"/>
        <v>1395.8484399999998</v>
      </c>
      <c r="H181" s="110">
        <v>44253</v>
      </c>
    </row>
    <row r="182" spans="1:13" x14ac:dyDescent="0.3">
      <c r="A182" s="15">
        <v>43237</v>
      </c>
      <c r="B182">
        <v>5000</v>
      </c>
      <c r="C182">
        <v>79.42</v>
      </c>
      <c r="D182">
        <v>62.956000000000003</v>
      </c>
      <c r="E182" s="14">
        <v>101.72</v>
      </c>
      <c r="F182">
        <f t="shared" si="17"/>
        <v>6403.8843200000001</v>
      </c>
      <c r="G182">
        <f t="shared" si="18"/>
        <v>1403.8843200000001</v>
      </c>
      <c r="H182" s="110">
        <v>44253</v>
      </c>
    </row>
    <row r="183" spans="1:13" x14ac:dyDescent="0.3">
      <c r="A183" s="15">
        <v>43238</v>
      </c>
      <c r="B183">
        <v>5000</v>
      </c>
      <c r="C183">
        <v>78.83</v>
      </c>
      <c r="D183" s="14">
        <v>63.427999999999997</v>
      </c>
      <c r="E183" s="14">
        <v>101.72</v>
      </c>
      <c r="F183">
        <f t="shared" si="17"/>
        <v>6451.8961599999993</v>
      </c>
      <c r="G183">
        <f t="shared" si="18"/>
        <v>1451.8961599999993</v>
      </c>
      <c r="H183" s="110">
        <v>44253</v>
      </c>
    </row>
    <row r="184" spans="1:13" x14ac:dyDescent="0.3">
      <c r="A184" s="15">
        <v>43241</v>
      </c>
      <c r="B184">
        <v>5000</v>
      </c>
      <c r="C184">
        <v>78.5</v>
      </c>
      <c r="D184">
        <v>63.694000000000003</v>
      </c>
      <c r="E184" s="14">
        <v>101.72</v>
      </c>
      <c r="F184">
        <f t="shared" si="17"/>
        <v>6478.9536800000005</v>
      </c>
      <c r="G184">
        <f t="shared" si="18"/>
        <v>1478.9536800000005</v>
      </c>
      <c r="H184" s="110">
        <v>44253</v>
      </c>
    </row>
    <row r="185" spans="1:13" x14ac:dyDescent="0.3">
      <c r="A185" s="15">
        <v>43279</v>
      </c>
      <c r="B185">
        <v>5000</v>
      </c>
      <c r="C185" s="14">
        <v>78.010000000000005</v>
      </c>
      <c r="D185">
        <v>64.093999999999994</v>
      </c>
      <c r="E185" s="14">
        <v>101.72</v>
      </c>
      <c r="F185">
        <f t="shared" si="17"/>
        <v>6519.6416799999997</v>
      </c>
      <c r="G185">
        <f t="shared" si="18"/>
        <v>1519.6416799999997</v>
      </c>
      <c r="H185" s="110">
        <v>44253</v>
      </c>
    </row>
    <row r="187" spans="1:13" x14ac:dyDescent="0.3">
      <c r="B187">
        <f>SUM(B179:B185)</f>
        <v>35000</v>
      </c>
      <c r="C187">
        <f>AVERAGE(C179:C185)</f>
        <v>79.394285714285715</v>
      </c>
      <c r="D187" s="14">
        <f>SUM(D179:D185)</f>
        <v>440.904</v>
      </c>
      <c r="E187">
        <f>MF_Summary!G13</f>
        <v>101.72</v>
      </c>
      <c r="F187">
        <f>SUM(F179:F185)</f>
        <v>44848.75488</v>
      </c>
    </row>
    <row r="189" spans="1:13" x14ac:dyDescent="0.3">
      <c r="A189" s="228" t="s">
        <v>159</v>
      </c>
      <c r="B189" s="228"/>
      <c r="C189" s="228"/>
      <c r="D189" s="228"/>
      <c r="E189" s="228"/>
      <c r="F189" s="228"/>
    </row>
    <row r="190" spans="1:13" x14ac:dyDescent="0.3">
      <c r="B190" s="4" t="s">
        <v>147</v>
      </c>
      <c r="C190" s="4" t="s">
        <v>148</v>
      </c>
      <c r="D190" s="4" t="s">
        <v>149</v>
      </c>
      <c r="E190" s="4" t="s">
        <v>150</v>
      </c>
      <c r="F190" s="4" t="s">
        <v>151</v>
      </c>
      <c r="G190" s="4"/>
      <c r="I190" s="4"/>
      <c r="J190" s="4"/>
      <c r="K190" s="4"/>
      <c r="L190" s="4"/>
      <c r="M190" s="4"/>
    </row>
    <row r="191" spans="1:13" x14ac:dyDescent="0.3">
      <c r="A191" s="89">
        <v>42905</v>
      </c>
      <c r="B191" s="90">
        <v>5000</v>
      </c>
      <c r="C191" s="90">
        <v>118.73309999999999</v>
      </c>
      <c r="D191" s="90">
        <v>42.110999999999997</v>
      </c>
      <c r="E191" s="91">
        <v>136.78829999999999</v>
      </c>
      <c r="F191" s="92">
        <f>D191*E191</f>
        <v>5760.2921012999996</v>
      </c>
      <c r="G191">
        <f>F191-B191</f>
        <v>760.29210129999956</v>
      </c>
      <c r="H191" s="110">
        <v>43984</v>
      </c>
      <c r="L191" s="14"/>
    </row>
    <row r="192" spans="1:13" x14ac:dyDescent="0.3">
      <c r="A192" s="89">
        <v>42950</v>
      </c>
      <c r="B192" s="90">
        <v>10000</v>
      </c>
      <c r="C192" s="90">
        <v>123.1532</v>
      </c>
      <c r="D192" s="90">
        <v>81.2</v>
      </c>
      <c r="E192" s="91">
        <v>136.78829999999999</v>
      </c>
      <c r="F192" s="92">
        <f t="shared" ref="F192:F201" si="19">D192*E192</f>
        <v>11107.20996</v>
      </c>
      <c r="G192">
        <f t="shared" ref="G192:G202" si="20">F192-B192</f>
        <v>1107.2099600000001</v>
      </c>
      <c r="H192" s="110">
        <v>43984</v>
      </c>
    </row>
    <row r="193" spans="1:10" x14ac:dyDescent="0.3">
      <c r="A193" s="89">
        <v>42955</v>
      </c>
      <c r="B193" s="90">
        <v>5000</v>
      </c>
      <c r="C193" s="90">
        <v>123.57680000000001</v>
      </c>
      <c r="D193" s="90">
        <v>40.460999999999999</v>
      </c>
      <c r="E193" s="91">
        <v>136.78829999999999</v>
      </c>
      <c r="F193" s="92">
        <f t="shared" si="19"/>
        <v>5534.5914062999991</v>
      </c>
      <c r="G193">
        <f t="shared" si="20"/>
        <v>534.59140629999911</v>
      </c>
      <c r="H193" s="110">
        <v>43984</v>
      </c>
      <c r="J193" s="98">
        <f>SUM(F191:F201)</f>
        <v>71120.477607299996</v>
      </c>
    </row>
    <row r="194" spans="1:10" x14ac:dyDescent="0.3">
      <c r="A194" s="89">
        <v>42958</v>
      </c>
      <c r="B194" s="90">
        <v>5000</v>
      </c>
      <c r="C194" s="90">
        <v>120.2657</v>
      </c>
      <c r="D194" s="90">
        <v>41.575000000000003</v>
      </c>
      <c r="E194" s="91">
        <v>136.78829999999999</v>
      </c>
      <c r="F194" s="92">
        <f t="shared" si="19"/>
        <v>5686.9735725</v>
      </c>
      <c r="G194">
        <f t="shared" si="20"/>
        <v>686.97357250000005</v>
      </c>
      <c r="H194" s="110">
        <v>43984</v>
      </c>
    </row>
    <row r="195" spans="1:10" x14ac:dyDescent="0.3">
      <c r="A195" s="89">
        <v>42965</v>
      </c>
      <c r="B195" s="90">
        <v>5000</v>
      </c>
      <c r="C195" s="90">
        <v>121.66330000000001</v>
      </c>
      <c r="D195" s="90">
        <v>41.097000000000001</v>
      </c>
      <c r="E195" s="91">
        <v>136.78829999999999</v>
      </c>
      <c r="F195" s="92">
        <f t="shared" si="19"/>
        <v>5621.5887651000003</v>
      </c>
      <c r="G195">
        <f t="shared" si="20"/>
        <v>621.58876510000027</v>
      </c>
      <c r="H195" s="110">
        <v>43984</v>
      </c>
    </row>
    <row r="196" spans="1:10" x14ac:dyDescent="0.3">
      <c r="A196" s="89">
        <v>42982</v>
      </c>
      <c r="B196" s="90">
        <v>5000</v>
      </c>
      <c r="C196" s="90">
        <v>122.9588</v>
      </c>
      <c r="D196" s="90">
        <v>40.664000000000001</v>
      </c>
      <c r="E196" s="91">
        <v>136.78829999999999</v>
      </c>
      <c r="F196" s="92">
        <f t="shared" si="19"/>
        <v>5562.3594311999996</v>
      </c>
      <c r="G196">
        <f t="shared" si="20"/>
        <v>562.35943119999956</v>
      </c>
      <c r="H196" s="110">
        <v>43984</v>
      </c>
    </row>
    <row r="197" spans="1:10" x14ac:dyDescent="0.3">
      <c r="A197" s="89">
        <v>42999</v>
      </c>
      <c r="B197" s="90">
        <v>5000</v>
      </c>
      <c r="C197" s="90">
        <v>125.7167</v>
      </c>
      <c r="D197" s="90">
        <v>39.771999999999998</v>
      </c>
      <c r="E197" s="91">
        <v>136.78829999999999</v>
      </c>
      <c r="F197" s="92">
        <f t="shared" si="19"/>
        <v>5440.3442675999995</v>
      </c>
      <c r="G197">
        <f t="shared" si="20"/>
        <v>440.34426759999951</v>
      </c>
      <c r="H197" s="110">
        <v>43984</v>
      </c>
    </row>
    <row r="198" spans="1:10" x14ac:dyDescent="0.3">
      <c r="A198" s="89">
        <v>43003</v>
      </c>
      <c r="B198" s="90">
        <v>5000</v>
      </c>
      <c r="C198" s="90">
        <v>123.09869999999999</v>
      </c>
      <c r="D198" s="90">
        <v>40.618000000000002</v>
      </c>
      <c r="E198" s="91">
        <v>136.78829999999999</v>
      </c>
      <c r="F198" s="92">
        <f t="shared" si="19"/>
        <v>5556.0671694000002</v>
      </c>
      <c r="G198">
        <f t="shared" si="20"/>
        <v>556.06716940000024</v>
      </c>
      <c r="H198" s="110">
        <v>43984</v>
      </c>
    </row>
    <row r="199" spans="1:10" x14ac:dyDescent="0.3">
      <c r="A199" s="89">
        <v>43046</v>
      </c>
      <c r="B199" s="90">
        <v>5000</v>
      </c>
      <c r="C199" s="90">
        <v>130.8837</v>
      </c>
      <c r="D199" s="90">
        <v>38.201999999999998</v>
      </c>
      <c r="E199" s="91">
        <v>136.78829999999999</v>
      </c>
      <c r="F199" s="92">
        <f t="shared" si="19"/>
        <v>5225.5866365999991</v>
      </c>
      <c r="G199">
        <f t="shared" si="20"/>
        <v>225.58663659999911</v>
      </c>
      <c r="H199" s="110">
        <v>43984</v>
      </c>
    </row>
    <row r="200" spans="1:10" x14ac:dyDescent="0.3">
      <c r="A200" s="89">
        <v>43052</v>
      </c>
      <c r="B200" s="90">
        <v>5000</v>
      </c>
      <c r="C200" s="90">
        <v>130.1936</v>
      </c>
      <c r="D200" s="90">
        <v>38.404000000000003</v>
      </c>
      <c r="E200" s="91">
        <v>136.78829999999999</v>
      </c>
      <c r="F200" s="92">
        <f t="shared" si="19"/>
        <v>5253.2178732000002</v>
      </c>
      <c r="G200">
        <f t="shared" si="20"/>
        <v>253.21787320000021</v>
      </c>
      <c r="H200" s="110">
        <v>43984</v>
      </c>
    </row>
    <row r="201" spans="1:10" x14ac:dyDescent="0.3">
      <c r="A201" s="89">
        <v>43136</v>
      </c>
      <c r="B201" s="90">
        <v>10000</v>
      </c>
      <c r="C201" s="90">
        <v>131.8794</v>
      </c>
      <c r="D201" s="90">
        <v>75.826999999999998</v>
      </c>
      <c r="E201" s="91">
        <v>136.78829999999999</v>
      </c>
      <c r="F201" s="92">
        <f t="shared" si="19"/>
        <v>10372.2464241</v>
      </c>
      <c r="G201">
        <f t="shared" si="20"/>
        <v>372.24642409999979</v>
      </c>
      <c r="H201" s="110">
        <v>43984</v>
      </c>
    </row>
    <row r="202" spans="1:10" x14ac:dyDescent="0.3">
      <c r="A202" s="77">
        <v>43885</v>
      </c>
      <c r="B202" s="79">
        <v>50000</v>
      </c>
      <c r="C202" s="14">
        <v>158.54310000000001</v>
      </c>
      <c r="D202">
        <f>B202/C202</f>
        <v>315.37165603548812</v>
      </c>
      <c r="E202" s="14">
        <v>183.9539</v>
      </c>
      <c r="F202">
        <f>D202*E202</f>
        <v>58013.846077186579</v>
      </c>
      <c r="G202">
        <f t="shared" si="20"/>
        <v>8013.8460771865794</v>
      </c>
      <c r="H202" s="110">
        <v>44253</v>
      </c>
    </row>
    <row r="203" spans="1:10" x14ac:dyDescent="0.3">
      <c r="C203">
        <f>AVERAGE(C191:C202)</f>
        <v>127.55550833333336</v>
      </c>
    </row>
    <row r="204" spans="1:10" x14ac:dyDescent="0.3">
      <c r="A204" s="228" t="s">
        <v>305</v>
      </c>
      <c r="B204" s="228"/>
      <c r="C204" s="228"/>
      <c r="D204" s="228"/>
      <c r="E204" s="228"/>
      <c r="F204" s="228"/>
    </row>
    <row r="205" spans="1:10" x14ac:dyDescent="0.3">
      <c r="B205" s="4" t="s">
        <v>147</v>
      </c>
      <c r="C205" s="4" t="s">
        <v>148</v>
      </c>
      <c r="D205" s="4" t="s">
        <v>149</v>
      </c>
      <c r="E205" s="4" t="s">
        <v>150</v>
      </c>
      <c r="F205" s="4" t="s">
        <v>151</v>
      </c>
    </row>
    <row r="206" spans="1:10" x14ac:dyDescent="0.3">
      <c r="A206" s="77">
        <v>43885</v>
      </c>
      <c r="B206" s="78">
        <v>50000</v>
      </c>
      <c r="C206">
        <v>104.69499999999999</v>
      </c>
      <c r="D206">
        <v>477.58</v>
      </c>
      <c r="E206">
        <v>120.2102</v>
      </c>
      <c r="F206">
        <f>E206*D206</f>
        <v>57409.987315999999</v>
      </c>
      <c r="G206">
        <f>F206-B206</f>
        <v>7409.9873159999988</v>
      </c>
      <c r="H206" s="110">
        <v>44253</v>
      </c>
    </row>
    <row r="210" spans="1:6" x14ac:dyDescent="0.3">
      <c r="A210" s="228" t="s">
        <v>326</v>
      </c>
      <c r="B210" s="228"/>
      <c r="C210" s="228"/>
      <c r="D210" s="228"/>
      <c r="E210" s="228"/>
      <c r="F210" s="228"/>
    </row>
    <row r="211" spans="1:6" x14ac:dyDescent="0.3">
      <c r="B211" s="4" t="s">
        <v>147</v>
      </c>
      <c r="C211" s="4" t="s">
        <v>148</v>
      </c>
      <c r="D211" s="4" t="s">
        <v>149</v>
      </c>
      <c r="E211" s="4" t="s">
        <v>150</v>
      </c>
      <c r="F211" s="4" t="s">
        <v>151</v>
      </c>
    </row>
    <row r="212" spans="1:6" x14ac:dyDescent="0.3">
      <c r="A212" s="15">
        <v>42901</v>
      </c>
      <c r="B212">
        <v>500</v>
      </c>
      <c r="C212">
        <v>203.59379999999999</v>
      </c>
      <c r="D212">
        <v>2.456</v>
      </c>
    </row>
    <row r="213" spans="1:6" x14ac:dyDescent="0.3">
      <c r="A213" s="15">
        <v>42907</v>
      </c>
      <c r="B213">
        <v>5000</v>
      </c>
    </row>
    <row r="214" spans="1:6" x14ac:dyDescent="0.3">
      <c r="A214" s="15">
        <v>42933</v>
      </c>
      <c r="B214">
        <v>500</v>
      </c>
    </row>
    <row r="215" spans="1:6" x14ac:dyDescent="0.3">
      <c r="A215" s="15">
        <v>42951</v>
      </c>
      <c r="B215">
        <v>10000</v>
      </c>
    </row>
    <row r="216" spans="1:6" x14ac:dyDescent="0.3">
      <c r="A216" s="15">
        <v>42958</v>
      </c>
      <c r="B216">
        <v>5000</v>
      </c>
    </row>
    <row r="217" spans="1:6" x14ac:dyDescent="0.3">
      <c r="A217" s="15">
        <v>42963</v>
      </c>
      <c r="B217">
        <v>500</v>
      </c>
    </row>
    <row r="218" spans="1:6" x14ac:dyDescent="0.3">
      <c r="A218" s="15">
        <v>42965</v>
      </c>
      <c r="B218">
        <v>10000</v>
      </c>
    </row>
    <row r="219" spans="1:6" x14ac:dyDescent="0.3">
      <c r="A219" s="15">
        <v>42982</v>
      </c>
      <c r="B219">
        <v>11587</v>
      </c>
    </row>
    <row r="220" spans="1:6" x14ac:dyDescent="0.3">
      <c r="A220" s="15">
        <v>42993</v>
      </c>
      <c r="B220">
        <v>500</v>
      </c>
    </row>
    <row r="221" spans="1:6" x14ac:dyDescent="0.3">
      <c r="A221" s="15">
        <v>42999</v>
      </c>
      <c r="B221">
        <v>23448</v>
      </c>
    </row>
    <row r="222" spans="1:6" x14ac:dyDescent="0.3">
      <c r="A222" s="15">
        <v>43000</v>
      </c>
      <c r="B222">
        <v>18000</v>
      </c>
    </row>
    <row r="223" spans="1:6" x14ac:dyDescent="0.3">
      <c r="A223" s="15">
        <v>43004</v>
      </c>
      <c r="B223">
        <v>10000</v>
      </c>
    </row>
    <row r="224" spans="1:6" x14ac:dyDescent="0.3">
      <c r="A224" s="15">
        <v>43024</v>
      </c>
      <c r="B224">
        <v>500</v>
      </c>
    </row>
    <row r="225" spans="1:2" x14ac:dyDescent="0.3">
      <c r="A225" s="15">
        <v>43046</v>
      </c>
      <c r="B225">
        <v>5000</v>
      </c>
    </row>
    <row r="226" spans="1:2" x14ac:dyDescent="0.3">
      <c r="A226" s="15">
        <v>43069</v>
      </c>
      <c r="B226">
        <v>46582</v>
      </c>
    </row>
  </sheetData>
  <mergeCells count="19">
    <mergeCell ref="A210:F210"/>
    <mergeCell ref="A1:F1"/>
    <mergeCell ref="A157:F157"/>
    <mergeCell ref="A123:F123"/>
    <mergeCell ref="A110:F110"/>
    <mergeCell ref="A189:F189"/>
    <mergeCell ref="A33:F33"/>
    <mergeCell ref="A128:F128"/>
    <mergeCell ref="A53:F53"/>
    <mergeCell ref="A57:F57"/>
    <mergeCell ref="A177:F177"/>
    <mergeCell ref="I12:N12"/>
    <mergeCell ref="A204:F204"/>
    <mergeCell ref="A97:F97"/>
    <mergeCell ref="A138:F138"/>
    <mergeCell ref="A151:F151"/>
    <mergeCell ref="A17:F17"/>
    <mergeCell ref="A22:F22"/>
    <mergeCell ref="A74:F74"/>
  </mergeCells>
  <hyperlinks>
    <hyperlink ref="E30" location="MF_Summary!G7" display="MF_Summary!G7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57"/>
  <sheetViews>
    <sheetView workbookViewId="0">
      <selection activeCell="O33" sqref="O33:O55"/>
    </sheetView>
  </sheetViews>
  <sheetFormatPr defaultRowHeight="14.4" x14ac:dyDescent="0.3"/>
  <cols>
    <col min="1" max="1" width="10" bestFit="1" customWidth="1"/>
    <col min="3" max="3" width="9.5546875" customWidth="1"/>
    <col min="4" max="4" width="10" customWidth="1"/>
    <col min="5" max="5" width="10.44140625" customWidth="1"/>
    <col min="6" max="6" width="10.109375" customWidth="1"/>
    <col min="11" max="11" width="11.6640625" customWidth="1"/>
    <col min="12" max="12" width="10.109375" bestFit="1" customWidth="1"/>
    <col min="13" max="14" width="10" bestFit="1" customWidth="1"/>
    <col min="15" max="15" width="9.5546875" bestFit="1" customWidth="1"/>
  </cols>
  <sheetData>
    <row r="1" spans="1:16" x14ac:dyDescent="0.3">
      <c r="A1" s="228" t="s">
        <v>145</v>
      </c>
      <c r="B1" s="228"/>
      <c r="C1" s="228"/>
      <c r="D1" s="228"/>
      <c r="E1" s="228"/>
      <c r="F1" s="228"/>
      <c r="K1" s="229" t="s">
        <v>146</v>
      </c>
      <c r="L1" s="229"/>
      <c r="M1" s="229"/>
      <c r="N1" s="229"/>
      <c r="O1" s="229"/>
      <c r="P1" s="229"/>
    </row>
    <row r="2" spans="1:16" x14ac:dyDescent="0.3">
      <c r="B2" s="4" t="s">
        <v>147</v>
      </c>
      <c r="C2" s="4" t="s">
        <v>148</v>
      </c>
      <c r="D2" s="4" t="s">
        <v>149</v>
      </c>
      <c r="E2" s="4" t="s">
        <v>150</v>
      </c>
      <c r="F2" s="4" t="s">
        <v>151</v>
      </c>
      <c r="L2" s="4" t="s">
        <v>197</v>
      </c>
      <c r="M2" s="4" t="s">
        <v>148</v>
      </c>
      <c r="N2" s="4" t="s">
        <v>149</v>
      </c>
      <c r="O2" s="4" t="s">
        <v>150</v>
      </c>
      <c r="P2" s="4" t="s">
        <v>151</v>
      </c>
    </row>
    <row r="3" spans="1:16" x14ac:dyDescent="0.3">
      <c r="A3" s="15">
        <v>42999</v>
      </c>
      <c r="B3">
        <v>10000</v>
      </c>
      <c r="C3" s="14">
        <v>56.988999999999997</v>
      </c>
      <c r="D3">
        <v>172.47200000000001</v>
      </c>
      <c r="E3" s="14">
        <v>59.281999999999996</v>
      </c>
      <c r="F3">
        <f>D3*E3</f>
        <v>10224.485103999999</v>
      </c>
      <c r="G3">
        <f>F3-B3</f>
        <v>224.48510399999941</v>
      </c>
      <c r="H3">
        <f>D3</f>
        <v>172.47200000000001</v>
      </c>
      <c r="K3" s="15">
        <v>43039</v>
      </c>
      <c r="L3" s="13">
        <v>24886.99</v>
      </c>
      <c r="M3">
        <v>520.21439999999996</v>
      </c>
      <c r="N3">
        <v>47.84</v>
      </c>
      <c r="O3">
        <v>475.0881</v>
      </c>
      <c r="P3">
        <f>N3*O3</f>
        <v>22728.214704000002</v>
      </c>
    </row>
    <row r="4" spans="1:16" x14ac:dyDescent="0.3">
      <c r="A4" s="15">
        <v>43000</v>
      </c>
      <c r="B4">
        <v>5000</v>
      </c>
      <c r="C4" s="14">
        <v>55.677</v>
      </c>
      <c r="D4">
        <v>89.804000000000002</v>
      </c>
      <c r="E4" s="14">
        <v>59.281999999999996</v>
      </c>
      <c r="F4">
        <f t="shared" ref="F4:F24" si="0">D4*E4</f>
        <v>5323.7607280000002</v>
      </c>
      <c r="G4">
        <f t="shared" ref="G4:G24" si="1">F4-B4</f>
        <v>323.7607280000002</v>
      </c>
      <c r="H4">
        <f>D3+D4</f>
        <v>262.27600000000001</v>
      </c>
      <c r="K4" s="15">
        <v>43066</v>
      </c>
      <c r="L4">
        <v>2000</v>
      </c>
      <c r="M4">
        <v>538.77</v>
      </c>
      <c r="N4">
        <v>3.7120000000000002</v>
      </c>
      <c r="O4">
        <v>475.0881</v>
      </c>
      <c r="P4">
        <f t="shared" ref="P4:P14" si="2">N4*O4</f>
        <v>1763.5270272</v>
      </c>
    </row>
    <row r="5" spans="1:16" x14ac:dyDescent="0.3">
      <c r="A5" s="15">
        <v>43003</v>
      </c>
      <c r="B5">
        <v>5000</v>
      </c>
      <c r="C5" s="14">
        <v>55.085999999999999</v>
      </c>
      <c r="D5">
        <v>90.766999999999996</v>
      </c>
      <c r="E5" s="14">
        <v>59.281999999999996</v>
      </c>
      <c r="F5">
        <f t="shared" si="0"/>
        <v>5380.8492939999996</v>
      </c>
      <c r="G5">
        <f t="shared" si="1"/>
        <v>380.84929399999965</v>
      </c>
      <c r="K5" s="15">
        <v>43069</v>
      </c>
      <c r="L5">
        <v>5000</v>
      </c>
      <c r="M5">
        <v>538.09550000000002</v>
      </c>
      <c r="N5">
        <v>9.2919999999999998</v>
      </c>
      <c r="O5">
        <v>475.0881</v>
      </c>
      <c r="P5">
        <f t="shared" si="2"/>
        <v>4414.5186252000003</v>
      </c>
    </row>
    <row r="6" spans="1:16" x14ac:dyDescent="0.3">
      <c r="A6" s="8">
        <v>43048</v>
      </c>
      <c r="B6">
        <v>5000</v>
      </c>
      <c r="C6" s="14">
        <v>59.276000000000003</v>
      </c>
      <c r="D6">
        <v>84.350999999999999</v>
      </c>
      <c r="E6" s="14">
        <v>59.281999999999996</v>
      </c>
      <c r="F6">
        <f t="shared" si="0"/>
        <v>5000.4959819999995</v>
      </c>
      <c r="G6">
        <f t="shared" si="1"/>
        <v>0.49598199999945791</v>
      </c>
      <c r="K6" s="15">
        <v>43096</v>
      </c>
      <c r="L6">
        <v>64428</v>
      </c>
      <c r="M6">
        <v>557.30029999999999</v>
      </c>
      <c r="N6">
        <v>115.607</v>
      </c>
      <c r="O6">
        <v>475.0881</v>
      </c>
      <c r="P6">
        <f t="shared" si="2"/>
        <v>54923.509976699999</v>
      </c>
    </row>
    <row r="7" spans="1:16" x14ac:dyDescent="0.3">
      <c r="A7" s="8">
        <v>43052</v>
      </c>
      <c r="B7">
        <v>5000</v>
      </c>
      <c r="C7" s="14">
        <v>59.097000000000001</v>
      </c>
      <c r="D7">
        <v>84.606999999999999</v>
      </c>
      <c r="E7" s="14">
        <v>59.281999999999996</v>
      </c>
      <c r="F7">
        <f t="shared" si="0"/>
        <v>5015.6721739999994</v>
      </c>
      <c r="G7">
        <f t="shared" si="1"/>
        <v>15.672173999999359</v>
      </c>
      <c r="K7" s="15">
        <v>43125</v>
      </c>
      <c r="L7">
        <v>10000</v>
      </c>
      <c r="M7">
        <v>553.95820000000003</v>
      </c>
      <c r="N7">
        <v>18.052</v>
      </c>
      <c r="O7">
        <v>475.0881</v>
      </c>
      <c r="P7">
        <f t="shared" si="2"/>
        <v>8576.2903812000004</v>
      </c>
    </row>
    <row r="8" spans="1:16" x14ac:dyDescent="0.3">
      <c r="A8" s="15">
        <v>43054</v>
      </c>
      <c r="B8">
        <v>2000</v>
      </c>
      <c r="C8" s="14">
        <v>58.314</v>
      </c>
      <c r="D8">
        <v>34.296999999999997</v>
      </c>
      <c r="E8" s="14">
        <v>59.281999999999996</v>
      </c>
      <c r="F8">
        <f t="shared" si="0"/>
        <v>2033.1947539999996</v>
      </c>
      <c r="G8">
        <f t="shared" si="1"/>
        <v>33.194753999999648</v>
      </c>
      <c r="K8" s="15">
        <v>43133</v>
      </c>
      <c r="L8">
        <v>10000</v>
      </c>
      <c r="M8">
        <v>525.75040000000001</v>
      </c>
      <c r="N8">
        <v>19.02</v>
      </c>
      <c r="O8">
        <v>475.0881</v>
      </c>
      <c r="P8">
        <f t="shared" si="2"/>
        <v>9036.1756619999996</v>
      </c>
    </row>
    <row r="9" spans="1:16" x14ac:dyDescent="0.3">
      <c r="A9" s="15">
        <v>43066</v>
      </c>
      <c r="B9">
        <v>2000</v>
      </c>
      <c r="C9" s="14">
        <v>60.280999999999999</v>
      </c>
      <c r="D9">
        <v>33.177999999999997</v>
      </c>
      <c r="E9" s="14">
        <v>59.281999999999996</v>
      </c>
      <c r="F9">
        <f t="shared" si="0"/>
        <v>1966.8581959999997</v>
      </c>
      <c r="G9">
        <f t="shared" si="1"/>
        <v>-33.14180400000032</v>
      </c>
      <c r="K9" s="15">
        <v>43153</v>
      </c>
      <c r="L9">
        <v>3000</v>
      </c>
      <c r="M9">
        <v>519.55989999999997</v>
      </c>
      <c r="N9">
        <v>5.774</v>
      </c>
      <c r="O9">
        <v>475.0881</v>
      </c>
      <c r="P9">
        <f>N9*O9</f>
        <v>2743.1586894000002</v>
      </c>
    </row>
    <row r="10" spans="1:16" x14ac:dyDescent="0.3">
      <c r="A10" s="15">
        <v>43069</v>
      </c>
      <c r="B10">
        <v>10000</v>
      </c>
      <c r="C10" s="14">
        <v>59.875</v>
      </c>
      <c r="D10">
        <v>167.01499999999999</v>
      </c>
      <c r="E10" s="14">
        <v>59.281999999999996</v>
      </c>
      <c r="F10">
        <f t="shared" si="0"/>
        <v>9900.983229999998</v>
      </c>
      <c r="G10">
        <f t="shared" si="1"/>
        <v>-99.016770000001998</v>
      </c>
      <c r="K10" s="15">
        <v>43164</v>
      </c>
      <c r="L10">
        <v>5000</v>
      </c>
      <c r="M10">
        <v>524.74609999999996</v>
      </c>
      <c r="N10">
        <v>9.5280000000000005</v>
      </c>
      <c r="O10">
        <v>475.0881</v>
      </c>
      <c r="P10">
        <f t="shared" si="2"/>
        <v>4526.6394168000006</v>
      </c>
    </row>
    <row r="11" spans="1:16" x14ac:dyDescent="0.3">
      <c r="A11" s="15">
        <v>43075</v>
      </c>
      <c r="B11">
        <v>2000</v>
      </c>
      <c r="C11" s="14">
        <v>58.935000000000002</v>
      </c>
      <c r="D11">
        <v>33.936</v>
      </c>
      <c r="E11" s="14">
        <v>59.281999999999996</v>
      </c>
      <c r="F11">
        <f t="shared" si="0"/>
        <v>2011.793952</v>
      </c>
      <c r="G11">
        <f t="shared" si="1"/>
        <v>11.79395199999999</v>
      </c>
      <c r="K11" s="15">
        <v>43182</v>
      </c>
      <c r="L11">
        <v>5000</v>
      </c>
      <c r="M11" s="14">
        <v>503.23360000000002</v>
      </c>
      <c r="N11">
        <v>9.9357000000000006</v>
      </c>
      <c r="O11">
        <v>475.0881</v>
      </c>
      <c r="P11">
        <f>N11*O11</f>
        <v>4720.3328351700002</v>
      </c>
    </row>
    <row r="12" spans="1:16" x14ac:dyDescent="0.3">
      <c r="A12" s="15">
        <v>43081</v>
      </c>
      <c r="B12">
        <v>5000</v>
      </c>
      <c r="C12" s="14">
        <v>59.753</v>
      </c>
      <c r="D12">
        <v>83.677999999999997</v>
      </c>
      <c r="E12" s="14">
        <v>59.281999999999996</v>
      </c>
      <c r="F12">
        <f t="shared" si="0"/>
        <v>4960.5991959999992</v>
      </c>
      <c r="G12">
        <f t="shared" si="1"/>
        <v>-39.40080400000079</v>
      </c>
      <c r="K12" s="15">
        <v>43224</v>
      </c>
      <c r="L12">
        <v>10000</v>
      </c>
      <c r="M12">
        <v>538.95540000000005</v>
      </c>
      <c r="N12">
        <v>19.468</v>
      </c>
      <c r="O12">
        <v>475.0881</v>
      </c>
      <c r="P12">
        <f t="shared" si="2"/>
        <v>9249.0151308000004</v>
      </c>
    </row>
    <row r="13" spans="1:16" x14ac:dyDescent="0.3">
      <c r="A13" s="15">
        <v>43110</v>
      </c>
      <c r="B13">
        <v>10000</v>
      </c>
      <c r="C13" s="14">
        <v>63.747999999999998</v>
      </c>
      <c r="D13">
        <v>156.86799999999999</v>
      </c>
      <c r="E13" s="14">
        <v>59.281999999999996</v>
      </c>
      <c r="F13">
        <f t="shared" si="0"/>
        <v>9299.4487759999993</v>
      </c>
      <c r="G13">
        <f t="shared" si="1"/>
        <v>-700.55122400000073</v>
      </c>
      <c r="K13" s="15">
        <v>43256</v>
      </c>
      <c r="L13">
        <v>5000</v>
      </c>
      <c r="M13">
        <v>508.83069999999998</v>
      </c>
      <c r="N13">
        <v>9.8260000000000005</v>
      </c>
      <c r="O13">
        <v>475.0881</v>
      </c>
      <c r="P13">
        <f t="shared" si="2"/>
        <v>4668.2156706000005</v>
      </c>
    </row>
    <row r="14" spans="1:16" x14ac:dyDescent="0.3">
      <c r="A14" s="15">
        <v>43125</v>
      </c>
      <c r="B14">
        <v>10000</v>
      </c>
      <c r="C14" s="14">
        <v>62.716000000000001</v>
      </c>
      <c r="D14">
        <v>159.44900000000001</v>
      </c>
      <c r="E14" s="14">
        <v>59.281999999999996</v>
      </c>
      <c r="F14">
        <f t="shared" si="0"/>
        <v>9452.455618</v>
      </c>
      <c r="G14">
        <f t="shared" si="1"/>
        <v>-547.54438200000004</v>
      </c>
      <c r="K14" s="15">
        <v>43278</v>
      </c>
      <c r="L14">
        <v>10000</v>
      </c>
      <c r="M14">
        <v>497.24930000000001</v>
      </c>
      <c r="N14">
        <v>20.111000000000001</v>
      </c>
      <c r="O14">
        <v>475.0881</v>
      </c>
      <c r="P14">
        <f t="shared" si="2"/>
        <v>9554.4967790999999</v>
      </c>
    </row>
    <row r="15" spans="1:16" x14ac:dyDescent="0.3">
      <c r="A15" s="15">
        <v>43130</v>
      </c>
      <c r="B15">
        <v>5000</v>
      </c>
      <c r="C15" s="14">
        <v>61.686999999999998</v>
      </c>
      <c r="D15">
        <v>81.054000000000002</v>
      </c>
      <c r="E15" s="14">
        <v>59.281999999999996</v>
      </c>
      <c r="F15">
        <f t="shared" si="0"/>
        <v>4805.0432279999995</v>
      </c>
      <c r="G15">
        <f t="shared" si="1"/>
        <v>-194.95677200000046</v>
      </c>
    </row>
    <row r="16" spans="1:16" x14ac:dyDescent="0.3">
      <c r="A16" s="15">
        <v>43133</v>
      </c>
      <c r="B16">
        <v>10000</v>
      </c>
      <c r="C16" s="14">
        <v>59.106000000000002</v>
      </c>
      <c r="D16">
        <v>169.18799999999999</v>
      </c>
      <c r="E16" s="14">
        <v>59.281999999999996</v>
      </c>
      <c r="F16">
        <f t="shared" si="0"/>
        <v>10029.803015999998</v>
      </c>
      <c r="G16">
        <f t="shared" si="1"/>
        <v>29.803015999998024</v>
      </c>
      <c r="M16">
        <f>SUM(M3:M15)</f>
        <v>6326.6637999999994</v>
      </c>
    </row>
    <row r="17" spans="1:17" x14ac:dyDescent="0.3">
      <c r="A17" s="15">
        <v>43136</v>
      </c>
      <c r="B17">
        <v>10000</v>
      </c>
      <c r="C17" s="14">
        <v>58.9</v>
      </c>
      <c r="D17">
        <v>169.779</v>
      </c>
      <c r="E17" s="14">
        <v>59.281999999999996</v>
      </c>
      <c r="F17">
        <f t="shared" si="0"/>
        <v>10064.838678</v>
      </c>
      <c r="G17">
        <f t="shared" si="1"/>
        <v>64.838678000000073</v>
      </c>
      <c r="L17" s="13">
        <f>SUM(L3:L14)</f>
        <v>154314.99</v>
      </c>
      <c r="N17">
        <f>SUM(N3:N14)</f>
        <v>288.16570000000002</v>
      </c>
      <c r="P17">
        <f>SUM(P3:P14)</f>
        <v>136904.09489817001</v>
      </c>
    </row>
    <row r="18" spans="1:17" x14ac:dyDescent="0.3">
      <c r="A18" s="15">
        <v>43139</v>
      </c>
      <c r="B18">
        <v>10000</v>
      </c>
      <c r="C18" s="14">
        <v>59.396999999999998</v>
      </c>
      <c r="D18">
        <v>168.35900000000001</v>
      </c>
      <c r="E18" s="14">
        <v>59.281999999999996</v>
      </c>
      <c r="F18">
        <f t="shared" si="0"/>
        <v>9980.658238</v>
      </c>
      <c r="G18">
        <f t="shared" si="1"/>
        <v>-19.341762000000017</v>
      </c>
    </row>
    <row r="19" spans="1:17" x14ac:dyDescent="0.3">
      <c r="A19" s="15">
        <v>43151</v>
      </c>
      <c r="B19">
        <v>5000</v>
      </c>
      <c r="C19" s="14">
        <v>58.618000000000002</v>
      </c>
      <c r="D19">
        <v>85.298000000000002</v>
      </c>
      <c r="E19" s="14">
        <v>59.281999999999996</v>
      </c>
      <c r="F19">
        <f t="shared" si="0"/>
        <v>5056.6360359999999</v>
      </c>
      <c r="G19">
        <f t="shared" si="1"/>
        <v>56.636035999999876</v>
      </c>
    </row>
    <row r="20" spans="1:17" x14ac:dyDescent="0.3">
      <c r="A20" s="15">
        <v>43153</v>
      </c>
      <c r="B20">
        <v>3000</v>
      </c>
      <c r="C20" s="14">
        <v>58.561999999999998</v>
      </c>
      <c r="D20">
        <v>51.228000000000002</v>
      </c>
      <c r="E20" s="14">
        <v>59.281999999999996</v>
      </c>
      <c r="F20">
        <f t="shared" si="0"/>
        <v>3036.8982959999998</v>
      </c>
      <c r="G20">
        <f t="shared" si="1"/>
        <v>36.898295999999846</v>
      </c>
    </row>
    <row r="21" spans="1:17" x14ac:dyDescent="0.3">
      <c r="A21" s="15">
        <v>43164</v>
      </c>
      <c r="B21">
        <v>5000</v>
      </c>
      <c r="C21" s="14">
        <v>59.024999999999999</v>
      </c>
      <c r="D21">
        <v>84.71</v>
      </c>
      <c r="E21" s="14">
        <v>59.281999999999996</v>
      </c>
      <c r="F21">
        <f t="shared" si="0"/>
        <v>5021.7782199999992</v>
      </c>
      <c r="G21">
        <f t="shared" si="1"/>
        <v>21.778219999999237</v>
      </c>
    </row>
    <row r="22" spans="1:17" x14ac:dyDescent="0.3">
      <c r="A22" s="15">
        <v>43182</v>
      </c>
      <c r="B22">
        <v>10000</v>
      </c>
      <c r="C22" s="14">
        <v>57.067999999999998</v>
      </c>
      <c r="D22">
        <v>175.23</v>
      </c>
      <c r="E22" s="14">
        <v>59.281999999999996</v>
      </c>
      <c r="F22">
        <f t="shared" si="0"/>
        <v>10387.984859999999</v>
      </c>
      <c r="G22">
        <f t="shared" si="1"/>
        <v>387.98485999999866</v>
      </c>
    </row>
    <row r="23" spans="1:17" x14ac:dyDescent="0.3">
      <c r="A23" s="15">
        <v>43256</v>
      </c>
      <c r="B23">
        <v>5000</v>
      </c>
      <c r="C23" s="14">
        <v>57.753</v>
      </c>
      <c r="D23">
        <v>86.575999999999993</v>
      </c>
      <c r="E23" s="14">
        <v>59.281999999999996</v>
      </c>
      <c r="F23">
        <f t="shared" si="0"/>
        <v>5132.398431999999</v>
      </c>
      <c r="G23">
        <f t="shared" si="1"/>
        <v>132.39843199999905</v>
      </c>
    </row>
    <row r="24" spans="1:17" x14ac:dyDescent="0.3">
      <c r="A24" s="15">
        <v>43279</v>
      </c>
      <c r="B24">
        <v>10000</v>
      </c>
      <c r="C24" s="14">
        <v>56.497999999999998</v>
      </c>
      <c r="D24">
        <v>176.99700000000001</v>
      </c>
      <c r="E24" s="14">
        <v>59.281999999999996</v>
      </c>
      <c r="F24">
        <f t="shared" si="0"/>
        <v>10492.736154</v>
      </c>
      <c r="G24">
        <f t="shared" si="1"/>
        <v>492.73615400000017</v>
      </c>
    </row>
    <row r="26" spans="1:17" x14ac:dyDescent="0.3">
      <c r="C26" s="14">
        <f>AVERAGE(C3:C24)</f>
        <v>58.925500000000007</v>
      </c>
      <c r="E26" s="14"/>
    </row>
    <row r="30" spans="1:17" x14ac:dyDescent="0.3">
      <c r="A30" s="228" t="s">
        <v>19</v>
      </c>
      <c r="B30" s="228"/>
      <c r="C30" s="228"/>
      <c r="D30" s="228"/>
      <c r="E30" s="228"/>
      <c r="F30" s="228"/>
      <c r="K30" s="228" t="s">
        <v>21</v>
      </c>
      <c r="L30" s="228"/>
      <c r="M30" s="228"/>
      <c r="N30" s="228"/>
      <c r="O30" s="228"/>
      <c r="P30" s="228"/>
    </row>
    <row r="31" spans="1:17" x14ac:dyDescent="0.3">
      <c r="C31" s="4" t="s">
        <v>148</v>
      </c>
      <c r="D31" s="4" t="s">
        <v>149</v>
      </c>
      <c r="E31" s="4" t="s">
        <v>150</v>
      </c>
      <c r="F31" s="4" t="s">
        <v>151</v>
      </c>
      <c r="M31" s="4" t="s">
        <v>148</v>
      </c>
      <c r="N31" s="4" t="s">
        <v>149</v>
      </c>
      <c r="O31" s="4" t="s">
        <v>150</v>
      </c>
      <c r="P31" s="4" t="s">
        <v>151</v>
      </c>
    </row>
    <row r="32" spans="1:17" x14ac:dyDescent="0.3">
      <c r="A32" s="15">
        <v>43003</v>
      </c>
      <c r="B32">
        <v>5000</v>
      </c>
      <c r="C32">
        <v>91.08</v>
      </c>
      <c r="D32" s="14">
        <v>54.896999999999998</v>
      </c>
      <c r="E32" s="14">
        <v>97.79</v>
      </c>
      <c r="F32">
        <f t="shared" ref="F32:F42" si="3">D32*E32</f>
        <v>5368.37763</v>
      </c>
      <c r="K32" s="15">
        <v>43005</v>
      </c>
      <c r="L32">
        <v>355.71069999999997</v>
      </c>
      <c r="M32">
        <v>941.03359999999998</v>
      </c>
      <c r="N32">
        <v>0.378</v>
      </c>
      <c r="O32" s="14">
        <v>1038.0962</v>
      </c>
      <c r="P32">
        <f t="shared" ref="P32:P55" si="4">N32*O32</f>
        <v>392.40036359999999</v>
      </c>
      <c r="Q32">
        <f>P32-L32</f>
        <v>36.689663600000017</v>
      </c>
    </row>
    <row r="33" spans="1:17" x14ac:dyDescent="0.3">
      <c r="A33" s="15">
        <v>43046</v>
      </c>
      <c r="B33">
        <v>5000</v>
      </c>
      <c r="C33">
        <v>96.67</v>
      </c>
      <c r="D33" s="14">
        <v>51.722000000000001</v>
      </c>
      <c r="E33" s="14">
        <v>97.79</v>
      </c>
      <c r="F33">
        <f t="shared" si="3"/>
        <v>5057.8943800000006</v>
      </c>
      <c r="K33" s="15">
        <v>43046</v>
      </c>
      <c r="L33">
        <v>5000</v>
      </c>
      <c r="M33" s="14">
        <v>1001.5664</v>
      </c>
      <c r="N33" s="14">
        <v>4.992</v>
      </c>
      <c r="O33" s="14">
        <v>1038.0962</v>
      </c>
      <c r="P33">
        <f t="shared" si="4"/>
        <v>5182.1762303999994</v>
      </c>
      <c r="Q33">
        <f>P33-L33</f>
        <v>182.17623039999944</v>
      </c>
    </row>
    <row r="34" spans="1:17" x14ac:dyDescent="0.3">
      <c r="A34" s="15">
        <v>43052</v>
      </c>
      <c r="B34">
        <v>5000</v>
      </c>
      <c r="C34">
        <v>95.63</v>
      </c>
      <c r="D34" s="14">
        <v>52.284999999999997</v>
      </c>
      <c r="E34" s="14">
        <v>97.79</v>
      </c>
      <c r="F34">
        <f t="shared" si="3"/>
        <v>5112.9501499999997</v>
      </c>
      <c r="K34" s="15">
        <v>43048</v>
      </c>
      <c r="L34">
        <v>2000</v>
      </c>
      <c r="M34" s="14">
        <v>1003.763</v>
      </c>
      <c r="N34" s="14">
        <v>1.9930000000000001</v>
      </c>
      <c r="O34" s="14">
        <v>1038.0962</v>
      </c>
      <c r="P34">
        <f t="shared" si="4"/>
        <v>2068.9257266</v>
      </c>
      <c r="Q34">
        <f t="shared" ref="Q34:Q55" si="5">P34-L34</f>
        <v>68.925726599999962</v>
      </c>
    </row>
    <row r="35" spans="1:17" x14ac:dyDescent="0.3">
      <c r="A35" s="15">
        <v>43054</v>
      </c>
      <c r="B35">
        <v>2000</v>
      </c>
      <c r="C35">
        <v>94.94</v>
      </c>
      <c r="D35" s="14">
        <v>21.065999999999999</v>
      </c>
      <c r="E35" s="14">
        <v>97.79</v>
      </c>
      <c r="F35">
        <f t="shared" si="3"/>
        <v>2060.04414</v>
      </c>
      <c r="K35" s="15">
        <v>43052</v>
      </c>
      <c r="L35">
        <v>5000</v>
      </c>
      <c r="M35" s="14">
        <v>1003.9989</v>
      </c>
      <c r="N35" s="14">
        <v>4.9800000000000004</v>
      </c>
      <c r="O35" s="14">
        <v>1038.0962</v>
      </c>
      <c r="P35">
        <f t="shared" si="4"/>
        <v>5169.7190760000003</v>
      </c>
      <c r="Q35">
        <f t="shared" si="5"/>
        <v>169.71907600000031</v>
      </c>
    </row>
    <row r="36" spans="1:17" x14ac:dyDescent="0.3">
      <c r="A36" s="15">
        <v>43066</v>
      </c>
      <c r="B36">
        <v>3000</v>
      </c>
      <c r="C36">
        <v>98.69</v>
      </c>
      <c r="D36" s="14">
        <v>30.398</v>
      </c>
      <c r="E36" s="14">
        <v>97.79</v>
      </c>
      <c r="F36">
        <f t="shared" si="3"/>
        <v>2972.6204200000002</v>
      </c>
      <c r="K36" s="15">
        <v>43054</v>
      </c>
      <c r="L36">
        <v>2000</v>
      </c>
      <c r="M36" s="14">
        <v>994.89779999999996</v>
      </c>
      <c r="N36" s="14">
        <v>2.0099999999999998</v>
      </c>
      <c r="O36" s="14">
        <v>1038.0962</v>
      </c>
      <c r="P36">
        <f t="shared" si="4"/>
        <v>2086.5733619999996</v>
      </c>
      <c r="Q36">
        <f t="shared" si="5"/>
        <v>86.573361999999634</v>
      </c>
    </row>
    <row r="37" spans="1:17" x14ac:dyDescent="0.3">
      <c r="A37" s="15">
        <v>43069</v>
      </c>
      <c r="B37">
        <v>10000</v>
      </c>
      <c r="C37">
        <v>98.73</v>
      </c>
      <c r="D37" s="14">
        <v>101.286</v>
      </c>
      <c r="E37" s="14">
        <v>97.79</v>
      </c>
      <c r="F37">
        <f t="shared" si="3"/>
        <v>9904.7579400000013</v>
      </c>
      <c r="K37" s="15">
        <v>43066</v>
      </c>
      <c r="L37">
        <v>5000</v>
      </c>
      <c r="M37" s="14">
        <v>1028.183</v>
      </c>
      <c r="N37" s="14">
        <v>4.8630000000000004</v>
      </c>
      <c r="O37" s="14">
        <v>1038.0962</v>
      </c>
      <c r="P37">
        <f t="shared" si="4"/>
        <v>5048.2618206000006</v>
      </c>
      <c r="Q37">
        <f t="shared" si="5"/>
        <v>48.261820600000647</v>
      </c>
    </row>
    <row r="38" spans="1:17" x14ac:dyDescent="0.3">
      <c r="A38" s="15">
        <v>43075</v>
      </c>
      <c r="B38">
        <v>2000</v>
      </c>
      <c r="C38">
        <v>96.72</v>
      </c>
      <c r="D38" s="14">
        <v>20.678000000000001</v>
      </c>
      <c r="E38" s="14">
        <v>97.79</v>
      </c>
      <c r="F38">
        <f t="shared" si="3"/>
        <v>2022.1016200000001</v>
      </c>
      <c r="K38" s="15">
        <v>43069</v>
      </c>
      <c r="L38">
        <v>10000</v>
      </c>
      <c r="M38" s="14">
        <v>1030.3098</v>
      </c>
      <c r="N38" s="14">
        <v>9.7059999999999995</v>
      </c>
      <c r="O38" s="14">
        <v>1038.0962</v>
      </c>
      <c r="P38">
        <f t="shared" si="4"/>
        <v>10075.761717199999</v>
      </c>
      <c r="Q38">
        <f t="shared" si="5"/>
        <v>75.761717199999111</v>
      </c>
    </row>
    <row r="39" spans="1:17" x14ac:dyDescent="0.3">
      <c r="A39" s="15">
        <v>43125</v>
      </c>
      <c r="B39">
        <v>10000</v>
      </c>
      <c r="C39">
        <v>102.85</v>
      </c>
      <c r="D39" s="14">
        <v>97.228999999999999</v>
      </c>
      <c r="E39" s="14">
        <v>97.79</v>
      </c>
      <c r="F39">
        <f t="shared" si="3"/>
        <v>9508.0239099999999</v>
      </c>
      <c r="K39" s="15">
        <v>43075</v>
      </c>
      <c r="L39">
        <v>2000</v>
      </c>
      <c r="M39" s="14">
        <v>1013.7329</v>
      </c>
      <c r="N39" s="14">
        <v>1.9730000000000001</v>
      </c>
      <c r="O39" s="14">
        <v>1038.0962</v>
      </c>
      <c r="P39">
        <f t="shared" si="4"/>
        <v>2048.1638026000001</v>
      </c>
      <c r="Q39">
        <f t="shared" si="5"/>
        <v>48.163802600000054</v>
      </c>
    </row>
    <row r="40" spans="1:17" x14ac:dyDescent="0.3">
      <c r="A40" s="15">
        <v>43133</v>
      </c>
      <c r="B40">
        <v>10000</v>
      </c>
      <c r="C40">
        <v>98.43</v>
      </c>
      <c r="D40" s="14">
        <v>101.595</v>
      </c>
      <c r="E40" s="14">
        <v>97.79</v>
      </c>
      <c r="F40">
        <f t="shared" si="3"/>
        <v>9934.9750500000009</v>
      </c>
      <c r="K40" s="15">
        <v>43081</v>
      </c>
      <c r="L40">
        <v>5000</v>
      </c>
      <c r="M40">
        <v>1023.3169</v>
      </c>
      <c r="N40" s="14">
        <v>4.8860000000000001</v>
      </c>
      <c r="O40" s="14">
        <v>1038.0962</v>
      </c>
      <c r="P40">
        <f t="shared" si="4"/>
        <v>5072.1380331999999</v>
      </c>
      <c r="Q40">
        <f t="shared" si="5"/>
        <v>72.138033199999882</v>
      </c>
    </row>
    <row r="41" spans="1:17" x14ac:dyDescent="0.3">
      <c r="A41" s="15">
        <v>43136</v>
      </c>
      <c r="B41">
        <v>10000</v>
      </c>
      <c r="C41">
        <v>98.03</v>
      </c>
      <c r="D41" s="14">
        <v>102.01</v>
      </c>
      <c r="E41" s="14">
        <v>97.79</v>
      </c>
      <c r="F41">
        <f t="shared" si="3"/>
        <v>9975.5579000000016</v>
      </c>
      <c r="K41" s="15">
        <v>43110</v>
      </c>
      <c r="L41">
        <v>10000</v>
      </c>
      <c r="M41">
        <v>1091.6541999999999</v>
      </c>
      <c r="N41" s="14">
        <v>9.16</v>
      </c>
      <c r="O41" s="14">
        <v>1038.0962</v>
      </c>
      <c r="P41">
        <f t="shared" si="4"/>
        <v>9508.9611919999988</v>
      </c>
      <c r="Q41">
        <f t="shared" si="5"/>
        <v>-491.03880800000115</v>
      </c>
    </row>
    <row r="42" spans="1:17" x14ac:dyDescent="0.3">
      <c r="A42" s="15">
        <v>43153</v>
      </c>
      <c r="B42">
        <v>3000</v>
      </c>
      <c r="C42">
        <v>97.45</v>
      </c>
      <c r="D42" s="14">
        <v>30.785</v>
      </c>
      <c r="E42" s="14">
        <v>97.79</v>
      </c>
      <c r="F42">
        <f t="shared" si="3"/>
        <v>3010.46515</v>
      </c>
      <c r="K42" s="15">
        <v>43125</v>
      </c>
      <c r="L42">
        <v>10000</v>
      </c>
      <c r="M42">
        <v>1079.4029</v>
      </c>
      <c r="N42" s="14">
        <v>9.2639999999999993</v>
      </c>
      <c r="O42" s="14">
        <v>1038.0962</v>
      </c>
      <c r="P42">
        <f t="shared" si="4"/>
        <v>9616.9231967999985</v>
      </c>
      <c r="Q42">
        <f t="shared" si="5"/>
        <v>-383.07680320000145</v>
      </c>
    </row>
    <row r="43" spans="1:17" x14ac:dyDescent="0.3">
      <c r="A43" s="15"/>
      <c r="C43">
        <f>AVERAGE(C32:C42)</f>
        <v>97.201818181818183</v>
      </c>
      <c r="D43" s="14">
        <f>SUM(D32:D42)</f>
        <v>663.95099999999991</v>
      </c>
      <c r="K43" s="15">
        <v>43130</v>
      </c>
      <c r="L43">
        <v>5000</v>
      </c>
      <c r="M43">
        <v>1067.2102</v>
      </c>
      <c r="N43" s="14">
        <v>4.6849999999999996</v>
      </c>
      <c r="O43" s="14">
        <v>1038.0962</v>
      </c>
      <c r="P43">
        <f t="shared" si="4"/>
        <v>4863.4806969999991</v>
      </c>
      <c r="Q43">
        <f t="shared" si="5"/>
        <v>-136.51930300000095</v>
      </c>
    </row>
    <row r="44" spans="1:17" x14ac:dyDescent="0.3">
      <c r="B44">
        <f>SUM(B32:B42)</f>
        <v>65000</v>
      </c>
      <c r="K44" s="15">
        <v>43133</v>
      </c>
      <c r="L44">
        <v>10000</v>
      </c>
      <c r="M44">
        <v>1036.682</v>
      </c>
      <c r="N44" s="14">
        <v>9.6460000000000008</v>
      </c>
      <c r="O44" s="14">
        <v>1038.0962</v>
      </c>
      <c r="P44">
        <f t="shared" si="4"/>
        <v>10013.4759452</v>
      </c>
      <c r="Q44">
        <f t="shared" si="5"/>
        <v>13.475945199999842</v>
      </c>
    </row>
    <row r="45" spans="1:17" x14ac:dyDescent="0.3">
      <c r="K45" s="15">
        <v>43136</v>
      </c>
      <c r="L45">
        <v>5000</v>
      </c>
      <c r="M45">
        <v>1030.2783999999999</v>
      </c>
      <c r="N45" s="14">
        <v>4.8529999999999998</v>
      </c>
      <c r="O45" s="14">
        <v>1038.0962</v>
      </c>
      <c r="P45">
        <f t="shared" si="4"/>
        <v>5037.8808585999996</v>
      </c>
      <c r="Q45">
        <f t="shared" si="5"/>
        <v>37.880858599999556</v>
      </c>
    </row>
    <row r="46" spans="1:17" x14ac:dyDescent="0.3">
      <c r="D46">
        <f>C43*D43</f>
        <v>64537.244383636353</v>
      </c>
      <c r="K46" s="15">
        <v>43139</v>
      </c>
      <c r="L46">
        <v>10000</v>
      </c>
      <c r="M46">
        <v>1033.2192</v>
      </c>
      <c r="N46" s="14">
        <v>9.6780000000000008</v>
      </c>
      <c r="O46" s="14">
        <v>1038.0962</v>
      </c>
      <c r="P46">
        <f t="shared" si="4"/>
        <v>10046.695023600001</v>
      </c>
      <c r="Q46">
        <f t="shared" si="5"/>
        <v>46.69502360000115</v>
      </c>
    </row>
    <row r="47" spans="1:17" x14ac:dyDescent="0.3">
      <c r="K47" s="15">
        <v>43151</v>
      </c>
      <c r="L47">
        <v>5000</v>
      </c>
      <c r="M47">
        <v>1024.5016000000001</v>
      </c>
      <c r="N47" s="14">
        <v>4.88</v>
      </c>
      <c r="O47" s="14">
        <v>1038.0962</v>
      </c>
      <c r="P47">
        <f t="shared" si="4"/>
        <v>5065.9094559999994</v>
      </c>
      <c r="Q47">
        <f t="shared" si="5"/>
        <v>65.909455999999409</v>
      </c>
    </row>
    <row r="48" spans="1:17" x14ac:dyDescent="0.3">
      <c r="K48" s="15">
        <v>43153</v>
      </c>
      <c r="L48">
        <v>3000</v>
      </c>
      <c r="M48">
        <v>1015.4613000000001</v>
      </c>
      <c r="N48" s="14">
        <v>2.9540000000000002</v>
      </c>
      <c r="O48" s="14">
        <v>1038.0962</v>
      </c>
      <c r="P48">
        <f t="shared" si="4"/>
        <v>3066.5361748</v>
      </c>
      <c r="Q48">
        <f t="shared" si="5"/>
        <v>66.536174800000026</v>
      </c>
    </row>
    <row r="49" spans="11:17" x14ac:dyDescent="0.3">
      <c r="K49" s="15">
        <v>43164</v>
      </c>
      <c r="L49">
        <v>5000</v>
      </c>
      <c r="M49">
        <v>1024.7197000000001</v>
      </c>
      <c r="N49" s="14">
        <v>4.8789999999999996</v>
      </c>
      <c r="O49" s="14">
        <v>1038.0962</v>
      </c>
      <c r="P49">
        <f t="shared" si="4"/>
        <v>5064.8713597999995</v>
      </c>
      <c r="Q49">
        <f t="shared" si="5"/>
        <v>64.871359799999482</v>
      </c>
    </row>
    <row r="50" spans="11:17" x14ac:dyDescent="0.3">
      <c r="K50" s="15">
        <v>43178</v>
      </c>
      <c r="L50">
        <v>5000</v>
      </c>
      <c r="M50">
        <v>999.12559999999996</v>
      </c>
      <c r="N50" s="14">
        <v>5.0039999999999996</v>
      </c>
      <c r="O50" s="14">
        <v>1038.0962</v>
      </c>
      <c r="P50">
        <f t="shared" si="4"/>
        <v>5194.6333847999995</v>
      </c>
      <c r="Q50">
        <f t="shared" si="5"/>
        <v>194.63338479999948</v>
      </c>
    </row>
    <row r="51" spans="11:17" x14ac:dyDescent="0.3">
      <c r="K51" s="15">
        <v>43182</v>
      </c>
      <c r="L51">
        <v>5000</v>
      </c>
      <c r="M51">
        <v>987.06600000000003</v>
      </c>
      <c r="N51" s="14">
        <v>5.0659999999999998</v>
      </c>
      <c r="O51" s="14">
        <v>1038.0962</v>
      </c>
      <c r="P51">
        <f t="shared" si="4"/>
        <v>5258.9953491999995</v>
      </c>
      <c r="Q51">
        <f t="shared" si="5"/>
        <v>258.99534919999951</v>
      </c>
    </row>
    <row r="52" spans="11:17" x14ac:dyDescent="0.3">
      <c r="K52" s="15">
        <v>43256</v>
      </c>
      <c r="L52">
        <v>5000</v>
      </c>
      <c r="M52">
        <v>1013.9548</v>
      </c>
      <c r="N52" s="14">
        <v>4.931</v>
      </c>
      <c r="O52" s="14">
        <v>1038.0962</v>
      </c>
      <c r="P52">
        <f t="shared" si="4"/>
        <v>5118.8523622000002</v>
      </c>
      <c r="Q52">
        <f t="shared" si="5"/>
        <v>118.85236220000024</v>
      </c>
    </row>
    <row r="53" spans="11:17" x14ac:dyDescent="0.3">
      <c r="K53" s="15">
        <v>43276</v>
      </c>
      <c r="L53">
        <v>5000</v>
      </c>
      <c r="M53">
        <v>1000.3568</v>
      </c>
      <c r="N53" s="14">
        <v>4.9980000000000002</v>
      </c>
      <c r="O53" s="14">
        <v>1038.0962</v>
      </c>
      <c r="P53">
        <f t="shared" si="4"/>
        <v>5188.4048075999999</v>
      </c>
      <c r="Q53">
        <f t="shared" si="5"/>
        <v>188.40480759999991</v>
      </c>
    </row>
    <row r="54" spans="11:17" x14ac:dyDescent="0.3">
      <c r="K54" s="15">
        <v>43278</v>
      </c>
      <c r="L54">
        <v>10000</v>
      </c>
      <c r="M54">
        <v>989.6463</v>
      </c>
      <c r="N54" s="14">
        <v>10.105</v>
      </c>
      <c r="O54" s="14">
        <v>1038.0962</v>
      </c>
      <c r="P54">
        <f t="shared" si="4"/>
        <v>10489.962100999999</v>
      </c>
      <c r="Q54">
        <f t="shared" si="5"/>
        <v>489.96210099999917</v>
      </c>
    </row>
    <row r="55" spans="11:17" x14ac:dyDescent="0.3">
      <c r="K55" s="15">
        <v>43279</v>
      </c>
      <c r="L55">
        <v>10000</v>
      </c>
      <c r="M55">
        <v>975.92819999999995</v>
      </c>
      <c r="N55" s="14">
        <v>10.247</v>
      </c>
      <c r="O55" s="14">
        <v>1038.0962</v>
      </c>
      <c r="P55">
        <f t="shared" si="4"/>
        <v>10637.3717614</v>
      </c>
      <c r="Q55">
        <f t="shared" si="5"/>
        <v>637.37176139999974</v>
      </c>
    </row>
    <row r="56" spans="11:17" x14ac:dyDescent="0.3">
      <c r="M56">
        <f>AVERAGE(M32:M55)</f>
        <v>1017.0837291666667</v>
      </c>
    </row>
    <row r="57" spans="11:17" x14ac:dyDescent="0.3">
      <c r="L57">
        <f>SUM(L32:L55)</f>
        <v>139355.7107</v>
      </c>
      <c r="P57">
        <f>SUM(P32:P55)</f>
        <v>141317.0738022</v>
      </c>
    </row>
  </sheetData>
  <mergeCells count="4">
    <mergeCell ref="A1:F1"/>
    <mergeCell ref="K1:P1"/>
    <mergeCell ref="A30:F30"/>
    <mergeCell ref="K30:P3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38"/>
  <sheetViews>
    <sheetView workbookViewId="0">
      <selection activeCell="D21" sqref="D21"/>
    </sheetView>
  </sheetViews>
  <sheetFormatPr defaultRowHeight="14.4" x14ac:dyDescent="0.3"/>
  <cols>
    <col min="1" max="1" width="10.109375" bestFit="1" customWidth="1"/>
    <col min="9" max="9" width="10.6640625" bestFit="1" customWidth="1"/>
    <col min="14" max="14" width="11.5546875" bestFit="1" customWidth="1"/>
    <col min="17" max="17" width="10.6640625" bestFit="1" customWidth="1"/>
    <col min="20" max="20" width="10.109375" bestFit="1" customWidth="1"/>
  </cols>
  <sheetData>
    <row r="1" spans="1:22" x14ac:dyDescent="0.3">
      <c r="A1" s="229" t="s">
        <v>172</v>
      </c>
      <c r="B1" s="229"/>
      <c r="C1" s="229"/>
      <c r="D1" s="229"/>
      <c r="E1" s="229"/>
      <c r="F1" s="229"/>
      <c r="I1" s="229" t="s">
        <v>152</v>
      </c>
      <c r="J1" s="229"/>
      <c r="K1" s="229"/>
      <c r="L1" s="229"/>
      <c r="M1" s="229"/>
      <c r="N1" s="229"/>
      <c r="Q1" s="229" t="s">
        <v>120</v>
      </c>
      <c r="R1" s="229"/>
      <c r="S1" s="229"/>
      <c r="T1" s="229"/>
      <c r="U1" s="229"/>
      <c r="V1" s="229"/>
    </row>
    <row r="2" spans="1:22" x14ac:dyDescent="0.3">
      <c r="C2" s="4" t="s">
        <v>148</v>
      </c>
      <c r="D2" s="4" t="s">
        <v>149</v>
      </c>
      <c r="E2" s="4" t="s">
        <v>150</v>
      </c>
      <c r="F2" s="4" t="s">
        <v>151</v>
      </c>
      <c r="K2" s="4" t="s">
        <v>148</v>
      </c>
      <c r="L2" s="4" t="s">
        <v>149</v>
      </c>
      <c r="M2" s="4" t="s">
        <v>150</v>
      </c>
      <c r="N2" s="4" t="s">
        <v>151</v>
      </c>
      <c r="S2" s="4" t="s">
        <v>148</v>
      </c>
      <c r="T2" s="4" t="s">
        <v>149</v>
      </c>
      <c r="U2" s="4" t="s">
        <v>150</v>
      </c>
      <c r="V2" s="4" t="s">
        <v>151</v>
      </c>
    </row>
    <row r="3" spans="1:22" ht="15" customHeight="1" x14ac:dyDescent="0.3">
      <c r="A3" s="15">
        <v>42965</v>
      </c>
      <c r="B3">
        <v>5000</v>
      </c>
      <c r="C3">
        <v>45.814999999999998</v>
      </c>
      <c r="D3">
        <v>109.13500000000001</v>
      </c>
      <c r="E3" s="14">
        <v>54.615000000000002</v>
      </c>
      <c r="F3">
        <f t="shared" ref="F3:F21" si="0">D3*E3</f>
        <v>5960.4080250000006</v>
      </c>
      <c r="G3">
        <f>F3-B3</f>
        <v>960.40802500000063</v>
      </c>
      <c r="I3" s="15">
        <v>42897</v>
      </c>
      <c r="J3">
        <v>1000</v>
      </c>
      <c r="K3">
        <v>53.73</v>
      </c>
      <c r="L3">
        <v>18.611999999999998</v>
      </c>
      <c r="M3" s="14">
        <v>53.43</v>
      </c>
      <c r="N3" s="19">
        <f t="shared" ref="N3:N27" si="1">L3*M3</f>
        <v>994.4391599999999</v>
      </c>
      <c r="Q3" t="s">
        <v>153</v>
      </c>
      <c r="R3">
        <v>66775.47</v>
      </c>
      <c r="S3">
        <v>224.39</v>
      </c>
      <c r="T3">
        <v>297.58800000000002</v>
      </c>
      <c r="U3" s="14">
        <v>237.62</v>
      </c>
      <c r="V3">
        <f t="shared" ref="V3:V13" si="2">T3*U3</f>
        <v>70712.860560000001</v>
      </c>
    </row>
    <row r="4" spans="1:22" x14ac:dyDescent="0.3">
      <c r="A4" s="15">
        <v>42999</v>
      </c>
      <c r="B4">
        <v>10000</v>
      </c>
      <c r="C4">
        <v>47.744999999999997</v>
      </c>
      <c r="D4">
        <v>209.446</v>
      </c>
      <c r="E4" s="14">
        <v>54.615000000000002</v>
      </c>
      <c r="F4">
        <f t="shared" si="0"/>
        <v>11438.89329</v>
      </c>
      <c r="G4">
        <f t="shared" ref="G4:G21" si="3">F4-B4</f>
        <v>1438.89329</v>
      </c>
      <c r="I4" s="15">
        <v>42958</v>
      </c>
      <c r="J4">
        <v>5000</v>
      </c>
      <c r="K4">
        <v>52.62</v>
      </c>
      <c r="L4">
        <v>95.021000000000001</v>
      </c>
      <c r="M4" s="14">
        <v>53.43</v>
      </c>
      <c r="N4" s="19">
        <f t="shared" si="1"/>
        <v>5076.9720299999999</v>
      </c>
      <c r="Q4" t="s">
        <v>154</v>
      </c>
      <c r="R4">
        <v>10000</v>
      </c>
      <c r="S4">
        <v>225.24</v>
      </c>
      <c r="T4">
        <v>44.396999999999998</v>
      </c>
      <c r="U4" s="14">
        <v>237.62</v>
      </c>
      <c r="V4">
        <f t="shared" si="2"/>
        <v>10549.61514</v>
      </c>
    </row>
    <row r="5" spans="1:22" ht="15" customHeight="1" x14ac:dyDescent="0.3">
      <c r="A5" s="15">
        <v>43000</v>
      </c>
      <c r="B5">
        <v>10000</v>
      </c>
      <c r="C5">
        <v>46.712000000000003</v>
      </c>
      <c r="D5">
        <v>214.078</v>
      </c>
      <c r="E5" s="14">
        <v>54.615000000000002</v>
      </c>
      <c r="F5">
        <f t="shared" si="0"/>
        <v>11691.86997</v>
      </c>
      <c r="G5">
        <f t="shared" si="3"/>
        <v>1691.8699699999997</v>
      </c>
      <c r="I5" s="15">
        <v>43052</v>
      </c>
      <c r="J5">
        <v>5000</v>
      </c>
      <c r="K5">
        <v>52.56</v>
      </c>
      <c r="L5">
        <v>95.129000000000005</v>
      </c>
      <c r="M5" s="14">
        <v>53.43</v>
      </c>
      <c r="N5" s="19">
        <f t="shared" si="1"/>
        <v>5082.7424700000001</v>
      </c>
      <c r="Q5" s="20">
        <v>42898</v>
      </c>
      <c r="R5">
        <v>3000</v>
      </c>
      <c r="S5">
        <v>221.02</v>
      </c>
      <c r="T5">
        <v>13.573</v>
      </c>
      <c r="U5" s="14">
        <v>237.62</v>
      </c>
      <c r="V5">
        <f t="shared" si="2"/>
        <v>3225.2162600000001</v>
      </c>
    </row>
    <row r="6" spans="1:22" x14ac:dyDescent="0.3">
      <c r="A6" s="15">
        <v>43003</v>
      </c>
      <c r="B6">
        <v>5000</v>
      </c>
      <c r="C6">
        <v>46.155000000000001</v>
      </c>
      <c r="D6">
        <v>108.331</v>
      </c>
      <c r="E6" s="14">
        <v>54.615000000000002</v>
      </c>
      <c r="F6">
        <f t="shared" si="0"/>
        <v>5916.4975650000006</v>
      </c>
      <c r="G6">
        <f t="shared" si="3"/>
        <v>916.49756500000058</v>
      </c>
      <c r="I6" s="15">
        <v>43054</v>
      </c>
      <c r="J6">
        <v>5000</v>
      </c>
      <c r="K6">
        <v>52.11</v>
      </c>
      <c r="L6">
        <v>95.950999999999993</v>
      </c>
      <c r="M6" s="14">
        <v>53.43</v>
      </c>
      <c r="N6" s="19">
        <f t="shared" si="1"/>
        <v>5126.6619299999993</v>
      </c>
      <c r="Q6" s="20">
        <v>43081</v>
      </c>
      <c r="R6">
        <v>5000</v>
      </c>
      <c r="S6">
        <v>225.65</v>
      </c>
      <c r="T6">
        <v>22.158000000000001</v>
      </c>
      <c r="U6" s="14">
        <v>237.62</v>
      </c>
      <c r="V6">
        <f t="shared" si="2"/>
        <v>5265.1839600000003</v>
      </c>
    </row>
    <row r="7" spans="1:22" ht="15" customHeight="1" x14ac:dyDescent="0.3">
      <c r="A7" s="15">
        <v>43047</v>
      </c>
      <c r="B7">
        <v>5000</v>
      </c>
      <c r="C7">
        <v>48.655999999999999</v>
      </c>
      <c r="D7">
        <v>102.762</v>
      </c>
      <c r="E7" s="14">
        <v>54.615000000000002</v>
      </c>
      <c r="F7">
        <f t="shared" si="0"/>
        <v>5612.34663</v>
      </c>
      <c r="G7">
        <f t="shared" si="3"/>
        <v>612.34663</v>
      </c>
      <c r="I7" s="15">
        <v>43066</v>
      </c>
      <c r="J7">
        <v>5000</v>
      </c>
      <c r="K7">
        <v>53.34</v>
      </c>
      <c r="L7">
        <v>93.738</v>
      </c>
      <c r="M7" s="14">
        <v>53.43</v>
      </c>
      <c r="N7" s="19">
        <f t="shared" si="1"/>
        <v>5008.4213399999999</v>
      </c>
      <c r="Q7" s="20">
        <v>43374</v>
      </c>
      <c r="R7">
        <v>10000</v>
      </c>
      <c r="S7">
        <v>235.12</v>
      </c>
      <c r="T7">
        <v>42.530999999999999</v>
      </c>
      <c r="U7" s="14">
        <v>237.62</v>
      </c>
      <c r="V7">
        <f t="shared" si="2"/>
        <v>10106.21622</v>
      </c>
    </row>
    <row r="8" spans="1:22" x14ac:dyDescent="0.3">
      <c r="A8" s="15">
        <v>43054</v>
      </c>
      <c r="B8">
        <v>5000</v>
      </c>
      <c r="C8">
        <v>47.968000000000004</v>
      </c>
      <c r="D8">
        <v>104.236</v>
      </c>
      <c r="E8" s="14">
        <v>54.615000000000002</v>
      </c>
      <c r="F8">
        <f t="shared" si="0"/>
        <v>5692.8491400000003</v>
      </c>
      <c r="G8">
        <f t="shared" si="3"/>
        <v>692.84914000000026</v>
      </c>
      <c r="I8" s="15">
        <v>43073</v>
      </c>
      <c r="J8">
        <v>10000</v>
      </c>
      <c r="K8">
        <v>52.21</v>
      </c>
      <c r="L8">
        <v>191.53399999999999</v>
      </c>
      <c r="M8" s="14">
        <v>53.43</v>
      </c>
      <c r="N8" s="19">
        <f t="shared" si="1"/>
        <v>10233.661619999999</v>
      </c>
      <c r="Q8" t="s">
        <v>155</v>
      </c>
      <c r="R8">
        <v>10000</v>
      </c>
      <c r="S8">
        <v>239.29</v>
      </c>
      <c r="T8">
        <v>41.79</v>
      </c>
      <c r="U8" s="14">
        <v>237.62</v>
      </c>
      <c r="V8">
        <f t="shared" si="2"/>
        <v>9930.1398000000008</v>
      </c>
    </row>
    <row r="9" spans="1:22" ht="15" customHeight="1" x14ac:dyDescent="0.3">
      <c r="A9" s="15">
        <v>43066</v>
      </c>
      <c r="B9">
        <v>5000</v>
      </c>
      <c r="C9">
        <v>49.540999999999997</v>
      </c>
      <c r="D9">
        <v>7464764</v>
      </c>
      <c r="E9" s="14">
        <v>54.615000000000002</v>
      </c>
      <c r="F9">
        <f t="shared" si="0"/>
        <v>407688085.86000001</v>
      </c>
      <c r="G9">
        <f t="shared" si="3"/>
        <v>407683085.86000001</v>
      </c>
      <c r="I9" s="15">
        <v>43075</v>
      </c>
      <c r="J9">
        <v>3000</v>
      </c>
      <c r="K9">
        <v>51.62</v>
      </c>
      <c r="L9">
        <v>58.116999999999997</v>
      </c>
      <c r="M9" s="14">
        <v>53.43</v>
      </c>
      <c r="N9" s="19">
        <f t="shared" si="1"/>
        <v>3105.1913099999997</v>
      </c>
      <c r="Q9" s="20">
        <v>43133</v>
      </c>
      <c r="R9">
        <v>10000</v>
      </c>
      <c r="S9">
        <v>231.43</v>
      </c>
      <c r="T9">
        <v>43.21</v>
      </c>
      <c r="U9" s="14">
        <v>237.62</v>
      </c>
      <c r="V9">
        <f t="shared" si="2"/>
        <v>10267.5602</v>
      </c>
    </row>
    <row r="10" spans="1:22" x14ac:dyDescent="0.3">
      <c r="A10" s="15">
        <v>43073</v>
      </c>
      <c r="B10">
        <v>10000</v>
      </c>
      <c r="C10">
        <v>48.295000000000002</v>
      </c>
      <c r="D10">
        <v>767585</v>
      </c>
      <c r="E10" s="14">
        <v>54.615000000000002</v>
      </c>
      <c r="F10">
        <f t="shared" si="0"/>
        <v>41921654.774999999</v>
      </c>
      <c r="G10">
        <f t="shared" si="3"/>
        <v>41911654.774999999</v>
      </c>
      <c r="I10" s="15">
        <v>43081</v>
      </c>
      <c r="J10">
        <v>10000</v>
      </c>
      <c r="K10">
        <v>52.37</v>
      </c>
      <c r="L10">
        <v>190.94900000000001</v>
      </c>
      <c r="M10" s="14">
        <v>53.43</v>
      </c>
      <c r="N10" s="19">
        <f t="shared" si="1"/>
        <v>10202.405070000001</v>
      </c>
      <c r="Q10" s="20">
        <v>43222</v>
      </c>
      <c r="R10">
        <v>10000</v>
      </c>
      <c r="S10">
        <v>230.24</v>
      </c>
      <c r="T10">
        <v>43.433</v>
      </c>
      <c r="U10" s="14">
        <v>237.62</v>
      </c>
      <c r="V10">
        <f t="shared" si="2"/>
        <v>10320.54946</v>
      </c>
    </row>
    <row r="11" spans="1:22" ht="15" customHeight="1" x14ac:dyDescent="0.3">
      <c r="A11" s="15">
        <v>43075</v>
      </c>
      <c r="B11">
        <v>2000</v>
      </c>
      <c r="C11">
        <v>47.859000000000002</v>
      </c>
      <c r="D11">
        <v>41.789000000000001</v>
      </c>
      <c r="E11" s="14">
        <v>54.615000000000002</v>
      </c>
      <c r="F11">
        <f t="shared" si="0"/>
        <v>2282.306235</v>
      </c>
      <c r="G11">
        <f t="shared" si="3"/>
        <v>282.30623500000002</v>
      </c>
      <c r="I11" s="15">
        <v>43110</v>
      </c>
      <c r="J11">
        <v>10000</v>
      </c>
      <c r="K11">
        <v>54.5</v>
      </c>
      <c r="L11">
        <v>183.48599999999999</v>
      </c>
      <c r="M11" s="14">
        <v>53.43</v>
      </c>
      <c r="N11" s="19">
        <f t="shared" si="1"/>
        <v>9803.6569799999997</v>
      </c>
      <c r="Q11" s="15">
        <v>43153</v>
      </c>
      <c r="R11">
        <v>3000</v>
      </c>
      <c r="S11" s="13">
        <v>223.47</v>
      </c>
      <c r="T11">
        <v>13.425000000000001</v>
      </c>
      <c r="U11" s="14">
        <v>237.62</v>
      </c>
      <c r="V11">
        <f t="shared" si="2"/>
        <v>3190.0485000000003</v>
      </c>
    </row>
    <row r="12" spans="1:22" x14ac:dyDescent="0.3">
      <c r="A12" s="15">
        <v>43081</v>
      </c>
      <c r="B12">
        <v>10000</v>
      </c>
      <c r="C12">
        <v>48.975000000000001</v>
      </c>
      <c r="D12">
        <v>204.18600000000001</v>
      </c>
      <c r="E12" s="14">
        <v>54.615000000000002</v>
      </c>
      <c r="F12">
        <f t="shared" si="0"/>
        <v>11151.618390000001</v>
      </c>
      <c r="G12">
        <f t="shared" si="3"/>
        <v>1151.6183900000015</v>
      </c>
      <c r="I12" s="15">
        <v>43129</v>
      </c>
      <c r="J12">
        <v>10000</v>
      </c>
      <c r="K12">
        <v>55.83</v>
      </c>
      <c r="L12">
        <v>179.11500000000001</v>
      </c>
      <c r="M12" s="14">
        <v>53.43</v>
      </c>
      <c r="N12" s="19">
        <f t="shared" si="1"/>
        <v>9570.1144500000009</v>
      </c>
      <c r="Q12" s="15">
        <v>43162</v>
      </c>
      <c r="R12">
        <v>5000</v>
      </c>
      <c r="S12">
        <v>223.27</v>
      </c>
      <c r="T12">
        <v>22.393999999999998</v>
      </c>
      <c r="U12" s="14">
        <v>237.62</v>
      </c>
      <c r="V12">
        <f t="shared" si="2"/>
        <v>5321.2622799999999</v>
      </c>
    </row>
    <row r="13" spans="1:22" ht="15" customHeight="1" x14ac:dyDescent="0.3">
      <c r="A13" s="15">
        <v>43110</v>
      </c>
      <c r="B13">
        <v>10000</v>
      </c>
      <c r="C13">
        <v>51.021000000000001</v>
      </c>
      <c r="D13">
        <v>195.99799999999999</v>
      </c>
      <c r="E13" s="14">
        <v>54.615000000000002</v>
      </c>
      <c r="F13">
        <f t="shared" si="0"/>
        <v>10704.430769999999</v>
      </c>
      <c r="G13">
        <f t="shared" si="3"/>
        <v>704.43076999999903</v>
      </c>
      <c r="I13" s="15">
        <v>43130</v>
      </c>
      <c r="J13">
        <v>5000</v>
      </c>
      <c r="K13">
        <v>55.59</v>
      </c>
      <c r="L13">
        <v>89.944000000000003</v>
      </c>
      <c r="M13" s="14">
        <v>53.43</v>
      </c>
      <c r="N13" s="19">
        <f t="shared" si="1"/>
        <v>4805.7079199999998</v>
      </c>
      <c r="Q13" s="15">
        <v>43167</v>
      </c>
      <c r="R13">
        <v>10000</v>
      </c>
      <c r="S13">
        <v>220.81</v>
      </c>
      <c r="T13">
        <v>45.286999999999999</v>
      </c>
      <c r="U13" s="14">
        <v>237.62</v>
      </c>
      <c r="V13">
        <f t="shared" si="2"/>
        <v>10761.096939999999</v>
      </c>
    </row>
    <row r="14" spans="1:22" x14ac:dyDescent="0.3">
      <c r="A14" s="15">
        <v>43129</v>
      </c>
      <c r="B14">
        <v>10000</v>
      </c>
      <c r="C14">
        <v>52.433</v>
      </c>
      <c r="D14">
        <v>190.72</v>
      </c>
      <c r="E14" s="14">
        <v>54.615000000000002</v>
      </c>
      <c r="F14">
        <f t="shared" si="0"/>
        <v>10416.1728</v>
      </c>
      <c r="G14">
        <f t="shared" si="3"/>
        <v>416.17280000000028</v>
      </c>
      <c r="I14" s="15">
        <v>43136</v>
      </c>
      <c r="J14">
        <v>20000</v>
      </c>
      <c r="K14">
        <v>53.56</v>
      </c>
      <c r="L14">
        <v>373.41300000000001</v>
      </c>
      <c r="M14" s="14">
        <v>53.43</v>
      </c>
      <c r="N14" s="19">
        <f t="shared" si="1"/>
        <v>19951.456590000002</v>
      </c>
      <c r="T14">
        <f>SUM(T3:T13)</f>
        <v>629.78600000000006</v>
      </c>
    </row>
    <row r="15" spans="1:22" ht="15" customHeight="1" x14ac:dyDescent="0.3">
      <c r="A15" s="15">
        <v>43130</v>
      </c>
      <c r="B15">
        <v>5000</v>
      </c>
      <c r="C15">
        <v>52.072000000000003</v>
      </c>
      <c r="D15">
        <v>96.021000000000001</v>
      </c>
      <c r="E15" s="14">
        <v>54.615000000000002</v>
      </c>
      <c r="F15">
        <f t="shared" si="0"/>
        <v>5244.1869150000002</v>
      </c>
      <c r="G15">
        <f t="shared" si="3"/>
        <v>244.18691500000023</v>
      </c>
      <c r="I15" s="15">
        <v>43136</v>
      </c>
      <c r="J15">
        <v>10000</v>
      </c>
      <c r="K15">
        <v>53.56</v>
      </c>
      <c r="L15">
        <v>186.70599999999999</v>
      </c>
      <c r="M15" s="14">
        <v>53.43</v>
      </c>
      <c r="N15" s="19">
        <f t="shared" si="1"/>
        <v>9975.701579999999</v>
      </c>
    </row>
    <row r="16" spans="1:22" x14ac:dyDescent="0.3">
      <c r="A16" s="15">
        <v>43136</v>
      </c>
      <c r="B16">
        <v>10000</v>
      </c>
      <c r="C16">
        <v>49.738</v>
      </c>
      <c r="D16">
        <v>201.054</v>
      </c>
      <c r="E16" s="14">
        <v>54.615000000000002</v>
      </c>
      <c r="F16">
        <f t="shared" si="0"/>
        <v>10980.56421</v>
      </c>
      <c r="G16">
        <f t="shared" si="3"/>
        <v>980.56421000000046</v>
      </c>
      <c r="I16" s="15">
        <v>43153</v>
      </c>
      <c r="J16">
        <v>3000</v>
      </c>
      <c r="K16">
        <v>52.47</v>
      </c>
      <c r="L16">
        <v>57.176000000000002</v>
      </c>
      <c r="M16" s="14">
        <v>53.43</v>
      </c>
      <c r="N16" s="19">
        <f t="shared" si="1"/>
        <v>3054.9136800000001</v>
      </c>
    </row>
    <row r="17" spans="1:20" ht="15" customHeight="1" x14ac:dyDescent="0.3">
      <c r="A17" s="15">
        <v>43136</v>
      </c>
      <c r="B17">
        <v>10000</v>
      </c>
      <c r="C17">
        <v>49.738</v>
      </c>
      <c r="D17">
        <v>201.054</v>
      </c>
      <c r="E17" s="14">
        <v>54.615000000000002</v>
      </c>
      <c r="F17">
        <f t="shared" si="0"/>
        <v>10980.56421</v>
      </c>
      <c r="G17">
        <f t="shared" si="3"/>
        <v>980.56421000000046</v>
      </c>
      <c r="I17" s="15">
        <v>43158</v>
      </c>
      <c r="J17">
        <v>10000</v>
      </c>
      <c r="K17">
        <v>53.09</v>
      </c>
      <c r="L17">
        <v>188.35939999999999</v>
      </c>
      <c r="M17" s="14">
        <v>53.43</v>
      </c>
      <c r="N17" s="19">
        <f t="shared" si="1"/>
        <v>10064.042742</v>
      </c>
      <c r="R17">
        <f>R10+R13</f>
        <v>20000</v>
      </c>
      <c r="S17">
        <f>(S10+S13)/2</f>
        <v>225.52500000000001</v>
      </c>
      <c r="T17">
        <f>T10+T13</f>
        <v>88.72</v>
      </c>
    </row>
    <row r="18" spans="1:20" x14ac:dyDescent="0.3">
      <c r="A18" s="15">
        <v>43153</v>
      </c>
      <c r="B18">
        <v>3000</v>
      </c>
      <c r="C18">
        <v>48.331000000000003</v>
      </c>
      <c r="D18">
        <v>62.072000000000003</v>
      </c>
      <c r="E18" s="14">
        <v>54.615000000000002</v>
      </c>
      <c r="F18">
        <f t="shared" si="0"/>
        <v>3390.0622800000001</v>
      </c>
      <c r="G18">
        <f t="shared" si="3"/>
        <v>390.0622800000001</v>
      </c>
      <c r="I18" s="15">
        <v>43159</v>
      </c>
      <c r="J18">
        <v>5000</v>
      </c>
      <c r="K18">
        <v>52.98</v>
      </c>
      <c r="L18">
        <v>94.37</v>
      </c>
      <c r="M18" s="14">
        <v>53.43</v>
      </c>
      <c r="N18" s="19">
        <f t="shared" si="1"/>
        <v>5042.1891000000005</v>
      </c>
      <c r="S18">
        <f>S17*T17</f>
        <v>20008.578000000001</v>
      </c>
    </row>
    <row r="19" spans="1:20" x14ac:dyDescent="0.3">
      <c r="A19" s="15">
        <v>43162</v>
      </c>
      <c r="B19">
        <v>5000</v>
      </c>
      <c r="C19">
        <v>48.34</v>
      </c>
      <c r="D19">
        <v>103.434</v>
      </c>
      <c r="E19" s="14">
        <v>54.615000000000002</v>
      </c>
      <c r="F19">
        <f t="shared" si="0"/>
        <v>5649.0479100000002</v>
      </c>
      <c r="G19">
        <f t="shared" si="3"/>
        <v>649.04791000000023</v>
      </c>
      <c r="I19" s="15">
        <v>43162</v>
      </c>
      <c r="J19">
        <v>5000</v>
      </c>
      <c r="K19">
        <v>52.25</v>
      </c>
      <c r="L19">
        <v>95.694000000000003</v>
      </c>
      <c r="M19" s="14">
        <v>53.43</v>
      </c>
      <c r="N19" s="19">
        <f t="shared" si="1"/>
        <v>5112.9304199999997</v>
      </c>
    </row>
    <row r="20" spans="1:20" x14ac:dyDescent="0.3">
      <c r="A20" s="15">
        <v>43182</v>
      </c>
      <c r="B20">
        <v>5000</v>
      </c>
      <c r="C20">
        <v>46.956000000000003</v>
      </c>
      <c r="D20">
        <v>106.483</v>
      </c>
      <c r="E20" s="14">
        <v>54.615000000000002</v>
      </c>
      <c r="F20">
        <f t="shared" si="0"/>
        <v>5815.5690450000002</v>
      </c>
      <c r="G20">
        <f t="shared" si="3"/>
        <v>815.56904500000019</v>
      </c>
      <c r="I20" s="15">
        <v>43167</v>
      </c>
      <c r="J20">
        <v>10000</v>
      </c>
      <c r="K20">
        <v>51.71</v>
      </c>
      <c r="L20">
        <v>193.386</v>
      </c>
      <c r="M20" s="14">
        <v>53.43</v>
      </c>
      <c r="N20" s="19">
        <f t="shared" si="1"/>
        <v>10332.61398</v>
      </c>
    </row>
    <row r="21" spans="1:20" x14ac:dyDescent="0.3">
      <c r="A21" s="15">
        <v>43241</v>
      </c>
      <c r="B21">
        <v>5000</v>
      </c>
      <c r="C21">
        <v>47.91</v>
      </c>
      <c r="D21">
        <v>104.36199999999999</v>
      </c>
      <c r="E21" s="14">
        <v>54.615000000000002</v>
      </c>
      <c r="F21">
        <f t="shared" si="0"/>
        <v>5699.73063</v>
      </c>
      <c r="G21">
        <f t="shared" si="3"/>
        <v>699.73063000000002</v>
      </c>
      <c r="I21" s="15">
        <v>43178</v>
      </c>
      <c r="J21">
        <v>10000</v>
      </c>
      <c r="K21">
        <v>50.99</v>
      </c>
      <c r="L21">
        <v>196.11699999999999</v>
      </c>
      <c r="M21" s="14">
        <v>53.43</v>
      </c>
      <c r="N21" s="19">
        <f t="shared" si="1"/>
        <v>10478.53131</v>
      </c>
    </row>
    <row r="22" spans="1:20" x14ac:dyDescent="0.3">
      <c r="A22" s="15">
        <v>43256</v>
      </c>
      <c r="B22">
        <v>5000</v>
      </c>
      <c r="C22">
        <v>48.442999999999998</v>
      </c>
      <c r="D22">
        <v>103.214</v>
      </c>
      <c r="E22" s="14">
        <v>54.615000000000002</v>
      </c>
      <c r="F22">
        <f>D22*E22</f>
        <v>5637.0326100000002</v>
      </c>
      <c r="G22">
        <f>F22-B22</f>
        <v>637.0326100000002</v>
      </c>
      <c r="I22" s="15">
        <v>43182</v>
      </c>
      <c r="J22">
        <v>5000</v>
      </c>
      <c r="K22">
        <v>50.74</v>
      </c>
      <c r="L22">
        <v>98.542000000000002</v>
      </c>
      <c r="M22" s="14">
        <v>53.43</v>
      </c>
      <c r="N22" s="19">
        <f t="shared" si="1"/>
        <v>5265.0990600000005</v>
      </c>
    </row>
    <row r="23" spans="1:20" x14ac:dyDescent="0.3">
      <c r="I23" s="15">
        <v>43237</v>
      </c>
      <c r="J23">
        <v>10000</v>
      </c>
      <c r="K23" s="13">
        <v>52.62</v>
      </c>
      <c r="L23">
        <v>190.042</v>
      </c>
      <c r="M23" s="14">
        <v>53.43</v>
      </c>
      <c r="N23" s="19">
        <f t="shared" si="1"/>
        <v>10153.94406</v>
      </c>
    </row>
    <row r="24" spans="1:20" x14ac:dyDescent="0.3">
      <c r="I24" s="15">
        <v>43240</v>
      </c>
      <c r="J24">
        <v>5000</v>
      </c>
      <c r="K24">
        <v>51.67</v>
      </c>
      <c r="L24">
        <v>96.768000000000001</v>
      </c>
      <c r="M24" s="14">
        <v>53.43</v>
      </c>
      <c r="N24" s="19">
        <f t="shared" si="1"/>
        <v>5170.3142399999997</v>
      </c>
    </row>
    <row r="25" spans="1:20" x14ac:dyDescent="0.3">
      <c r="I25" s="15">
        <v>43241</v>
      </c>
      <c r="J25">
        <v>5000</v>
      </c>
      <c r="K25">
        <v>51.67</v>
      </c>
      <c r="L25">
        <v>96.768000000000001</v>
      </c>
      <c r="M25" s="14">
        <v>53.43</v>
      </c>
      <c r="N25" s="19">
        <f t="shared" si="1"/>
        <v>5170.3142399999997</v>
      </c>
    </row>
    <row r="26" spans="1:20" x14ac:dyDescent="0.3">
      <c r="I26" s="15">
        <v>43256</v>
      </c>
      <c r="J26">
        <v>5000</v>
      </c>
      <c r="K26">
        <v>51.86</v>
      </c>
      <c r="L26">
        <v>96.412999999999997</v>
      </c>
      <c r="M26" s="14">
        <v>53.43</v>
      </c>
      <c r="N26" s="19">
        <f t="shared" si="1"/>
        <v>5151.3465900000001</v>
      </c>
    </row>
    <row r="27" spans="1:20" x14ac:dyDescent="0.3">
      <c r="I27" s="15">
        <v>43279</v>
      </c>
      <c r="J27">
        <v>5000</v>
      </c>
      <c r="K27">
        <v>51.64</v>
      </c>
      <c r="L27">
        <v>96.823999999999998</v>
      </c>
      <c r="M27" s="14">
        <v>53.43</v>
      </c>
      <c r="N27" s="19">
        <f t="shared" si="1"/>
        <v>5173.3063199999997</v>
      </c>
    </row>
    <row r="28" spans="1:20" x14ac:dyDescent="0.3">
      <c r="B28">
        <f>SUM(B3:B27)</f>
        <v>135000</v>
      </c>
      <c r="C28">
        <f>AVERAGE(C3:C27)</f>
        <v>48.635149999999996</v>
      </c>
      <c r="F28">
        <f>SUM(F3:F27)</f>
        <v>449744004.78562492</v>
      </c>
    </row>
    <row r="29" spans="1:20" x14ac:dyDescent="0.3">
      <c r="K29">
        <f>AVERAGE(K3:K27)</f>
        <v>52.691600000000001</v>
      </c>
    </row>
    <row r="30" spans="1:20" x14ac:dyDescent="0.3">
      <c r="J30">
        <f>SUM(J3:J27)</f>
        <v>177000</v>
      </c>
      <c r="N30" s="19">
        <f>SUM(N3:N27)</f>
        <v>179106.67819200002</v>
      </c>
    </row>
    <row r="34" spans="1:6" x14ac:dyDescent="0.3">
      <c r="A34" s="229" t="s">
        <v>182</v>
      </c>
      <c r="B34" s="229"/>
      <c r="C34" s="229"/>
      <c r="D34" s="229"/>
      <c r="E34" s="229"/>
      <c r="F34" s="229"/>
    </row>
    <row r="35" spans="1:6" x14ac:dyDescent="0.3">
      <c r="C35" s="4" t="s">
        <v>148</v>
      </c>
      <c r="D35" s="4" t="s">
        <v>149</v>
      </c>
      <c r="E35" s="4" t="s">
        <v>150</v>
      </c>
      <c r="F35" s="4" t="s">
        <v>151</v>
      </c>
    </row>
    <row r="36" spans="1:6" x14ac:dyDescent="0.3">
      <c r="A36" s="15">
        <v>43237</v>
      </c>
      <c r="B36">
        <v>5000</v>
      </c>
      <c r="C36">
        <v>465.26740000000001</v>
      </c>
      <c r="D36" s="6">
        <v>10.747</v>
      </c>
      <c r="E36" s="14">
        <v>472.50810000000001</v>
      </c>
      <c r="F36">
        <f>D36*E36</f>
        <v>5078.0445507000004</v>
      </c>
    </row>
    <row r="37" spans="1:6" x14ac:dyDescent="0.3">
      <c r="A37" s="15">
        <v>43238</v>
      </c>
      <c r="B37">
        <v>5000</v>
      </c>
      <c r="C37">
        <v>460.63760000000002</v>
      </c>
      <c r="D37">
        <v>10.855</v>
      </c>
      <c r="E37" s="14">
        <v>472.50810000000001</v>
      </c>
      <c r="F37">
        <f>D37*E37</f>
        <v>5129.0754255000002</v>
      </c>
    </row>
    <row r="38" spans="1:6" x14ac:dyDescent="0.3">
      <c r="A38" s="15">
        <v>43241</v>
      </c>
      <c r="B38">
        <v>5000</v>
      </c>
      <c r="C38">
        <v>456.37920000000003</v>
      </c>
      <c r="D38">
        <v>10.956</v>
      </c>
      <c r="E38" s="14">
        <v>472.50810000000001</v>
      </c>
      <c r="F38">
        <f>D38*E38</f>
        <v>5176.7987436000003</v>
      </c>
    </row>
  </sheetData>
  <mergeCells count="4">
    <mergeCell ref="A1:F1"/>
    <mergeCell ref="I1:N1"/>
    <mergeCell ref="Q1:V1"/>
    <mergeCell ref="A34:F3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24"/>
  <sheetViews>
    <sheetView workbookViewId="0">
      <selection activeCell="A21" sqref="A21"/>
    </sheetView>
  </sheetViews>
  <sheetFormatPr defaultRowHeight="14.4" x14ac:dyDescent="0.3"/>
  <cols>
    <col min="1" max="1" width="9.88671875" bestFit="1" customWidth="1"/>
    <col min="4" max="4" width="10.5546875" bestFit="1" customWidth="1"/>
    <col min="9" max="9" width="9.6640625" bestFit="1" customWidth="1"/>
    <col min="12" max="12" width="9.88671875" bestFit="1" customWidth="1"/>
    <col min="17" max="17" width="9.6640625" bestFit="1" customWidth="1"/>
  </cols>
  <sheetData>
    <row r="1" spans="1:17" x14ac:dyDescent="0.3">
      <c r="A1" s="229" t="s">
        <v>20</v>
      </c>
      <c r="B1" s="229"/>
      <c r="C1" s="229"/>
      <c r="D1" s="229"/>
      <c r="E1" s="229"/>
      <c r="F1" s="229"/>
      <c r="L1" s="228" t="s">
        <v>2</v>
      </c>
      <c r="M1" s="228"/>
      <c r="N1" s="228"/>
      <c r="O1" s="228"/>
      <c r="P1" s="228"/>
      <c r="Q1" s="228"/>
    </row>
    <row r="2" spans="1:17" x14ac:dyDescent="0.3">
      <c r="C2" s="4" t="s">
        <v>148</v>
      </c>
      <c r="D2" s="4" t="s">
        <v>149</v>
      </c>
      <c r="E2" s="4" t="s">
        <v>150</v>
      </c>
      <c r="F2" s="4" t="s">
        <v>151</v>
      </c>
      <c r="N2" s="4" t="s">
        <v>148</v>
      </c>
      <c r="O2" s="4" t="s">
        <v>149</v>
      </c>
      <c r="P2" s="4" t="s">
        <v>150</v>
      </c>
      <c r="Q2" s="4" t="s">
        <v>151</v>
      </c>
    </row>
    <row r="3" spans="1:17" x14ac:dyDescent="0.3">
      <c r="A3" s="15">
        <v>42936</v>
      </c>
      <c r="B3">
        <v>119023</v>
      </c>
      <c r="C3">
        <v>25.5291</v>
      </c>
      <c r="D3">
        <v>4662.2709999999997</v>
      </c>
      <c r="E3" s="14">
        <v>27.8889</v>
      </c>
      <c r="F3">
        <f>D3*E3</f>
        <v>130025.6096919</v>
      </c>
      <c r="L3" s="15">
        <v>42940</v>
      </c>
      <c r="M3">
        <v>72901.149999999994</v>
      </c>
      <c r="N3">
        <v>48.142000000000003</v>
      </c>
      <c r="O3">
        <v>1514.2950000000001</v>
      </c>
      <c r="P3" s="14">
        <v>51.69</v>
      </c>
      <c r="Q3">
        <f>O3*P3</f>
        <v>78273.908550000007</v>
      </c>
    </row>
    <row r="4" spans="1:17" x14ac:dyDescent="0.3">
      <c r="A4" s="15">
        <v>42940</v>
      </c>
      <c r="B4">
        <v>99559.86</v>
      </c>
      <c r="C4">
        <v>25.447399999999998</v>
      </c>
      <c r="D4">
        <v>3912.3780000000002</v>
      </c>
      <c r="E4" s="14">
        <v>27.8889</v>
      </c>
      <c r="F4">
        <f t="shared" ref="F4:F10" si="0">D4*E4</f>
        <v>109111.9188042</v>
      </c>
      <c r="L4" s="15">
        <v>42958</v>
      </c>
      <c r="M4">
        <v>12226.96</v>
      </c>
      <c r="N4">
        <v>46.174999999999997</v>
      </c>
      <c r="O4">
        <v>264.79599999999999</v>
      </c>
      <c r="P4" s="14">
        <v>51.69</v>
      </c>
      <c r="Q4">
        <f t="shared" ref="Q4:Q13" si="1">O4*P4</f>
        <v>13687.30524</v>
      </c>
    </row>
    <row r="5" spans="1:17" x14ac:dyDescent="0.3">
      <c r="A5" s="15">
        <v>42958</v>
      </c>
      <c r="B5">
        <v>4312.43</v>
      </c>
      <c r="C5">
        <v>25.690200000000001</v>
      </c>
      <c r="D5">
        <v>167.863</v>
      </c>
      <c r="E5" s="14">
        <v>27.8889</v>
      </c>
      <c r="F5">
        <f t="shared" si="0"/>
        <v>4681.5144207000003</v>
      </c>
      <c r="L5" s="15">
        <v>42999</v>
      </c>
      <c r="M5">
        <v>12942.69</v>
      </c>
      <c r="N5">
        <v>49.591999999999999</v>
      </c>
      <c r="O5">
        <v>260.983</v>
      </c>
      <c r="P5" s="14">
        <v>51.69</v>
      </c>
      <c r="Q5">
        <f t="shared" si="1"/>
        <v>13490.21127</v>
      </c>
    </row>
    <row r="6" spans="1:17" x14ac:dyDescent="0.3">
      <c r="A6" s="15">
        <v>42999</v>
      </c>
      <c r="B6">
        <v>4502.58</v>
      </c>
      <c r="C6">
        <v>27.305900000000001</v>
      </c>
      <c r="D6">
        <v>164.89400000000001</v>
      </c>
      <c r="E6" s="14">
        <v>27.8889</v>
      </c>
      <c r="F6">
        <f t="shared" si="0"/>
        <v>4598.7122766000002</v>
      </c>
      <c r="L6" s="15">
        <v>43019</v>
      </c>
      <c r="M6">
        <v>12234.24</v>
      </c>
      <c r="N6">
        <v>48.847999999999999</v>
      </c>
      <c r="O6">
        <v>250.45500000000001</v>
      </c>
      <c r="P6" s="14">
        <v>51.69</v>
      </c>
      <c r="Q6">
        <f t="shared" si="1"/>
        <v>12946.01895</v>
      </c>
    </row>
    <row r="7" spans="1:17" x14ac:dyDescent="0.3">
      <c r="A7" s="15">
        <v>43031</v>
      </c>
      <c r="B7">
        <v>17943.77</v>
      </c>
      <c r="C7">
        <v>26.900700000000001</v>
      </c>
      <c r="D7">
        <v>667.03700000000003</v>
      </c>
      <c r="E7" s="14">
        <v>27.8889</v>
      </c>
      <c r="F7">
        <f t="shared" si="0"/>
        <v>18602.928189300001</v>
      </c>
      <c r="L7" s="15">
        <v>43031</v>
      </c>
      <c r="M7">
        <v>38429.78</v>
      </c>
      <c r="N7">
        <v>50.03</v>
      </c>
      <c r="O7">
        <v>768.13499999999999</v>
      </c>
      <c r="P7" s="14">
        <v>51.69</v>
      </c>
      <c r="Q7">
        <f t="shared" si="1"/>
        <v>39704.898150000001</v>
      </c>
    </row>
    <row r="8" spans="1:17" x14ac:dyDescent="0.3">
      <c r="A8" s="15">
        <v>43069</v>
      </c>
      <c r="B8">
        <v>10000</v>
      </c>
      <c r="C8">
        <v>27.14</v>
      </c>
      <c r="D8">
        <v>368.46</v>
      </c>
      <c r="E8" s="14">
        <v>27.8889</v>
      </c>
      <c r="F8">
        <f t="shared" si="0"/>
        <v>10275.944093999999</v>
      </c>
      <c r="L8" s="15">
        <v>43069</v>
      </c>
      <c r="M8">
        <v>10000</v>
      </c>
      <c r="N8">
        <v>51.31</v>
      </c>
      <c r="O8">
        <v>194.89400000000001</v>
      </c>
      <c r="P8" s="14">
        <v>51.69</v>
      </c>
      <c r="Q8">
        <f t="shared" si="1"/>
        <v>10074.07086</v>
      </c>
    </row>
    <row r="9" spans="1:17" x14ac:dyDescent="0.3">
      <c r="A9" s="15">
        <v>43081</v>
      </c>
      <c r="B9">
        <v>5000</v>
      </c>
      <c r="C9">
        <v>27.479500000000002</v>
      </c>
      <c r="D9">
        <v>181.95400000000001</v>
      </c>
      <c r="E9" s="14">
        <v>27.8889</v>
      </c>
      <c r="F9">
        <f t="shared" si="0"/>
        <v>5074.4969105999999</v>
      </c>
      <c r="L9" s="15">
        <v>43081</v>
      </c>
      <c r="M9">
        <v>4000</v>
      </c>
      <c r="N9">
        <v>51.075000000000003</v>
      </c>
      <c r="O9">
        <v>78.316000000000003</v>
      </c>
      <c r="P9" s="14">
        <v>51.69</v>
      </c>
      <c r="Q9">
        <f t="shared" si="1"/>
        <v>4048.1540399999999</v>
      </c>
    </row>
    <row r="10" spans="1:17" x14ac:dyDescent="0.3">
      <c r="A10" s="15">
        <v>43130</v>
      </c>
      <c r="B10">
        <v>5000</v>
      </c>
      <c r="C10">
        <v>28.319199999999999</v>
      </c>
      <c r="D10">
        <v>176.559</v>
      </c>
      <c r="E10" s="14">
        <v>27.8889</v>
      </c>
      <c r="F10">
        <f t="shared" si="0"/>
        <v>4924.0362950999997</v>
      </c>
      <c r="L10" s="15">
        <v>43125</v>
      </c>
      <c r="M10">
        <v>10000</v>
      </c>
      <c r="N10">
        <v>54.466000000000001</v>
      </c>
      <c r="O10">
        <v>183.601</v>
      </c>
      <c r="P10" s="14">
        <v>51.69</v>
      </c>
      <c r="Q10">
        <f t="shared" si="1"/>
        <v>9490.3356899999999</v>
      </c>
    </row>
    <row r="11" spans="1:17" x14ac:dyDescent="0.3">
      <c r="C11">
        <f>AVERAGE(C3:C10)</f>
        <v>26.726500000000001</v>
      </c>
      <c r="L11" s="15">
        <v>43130</v>
      </c>
      <c r="M11">
        <v>5000</v>
      </c>
      <c r="N11">
        <v>53.779000000000003</v>
      </c>
      <c r="O11">
        <v>92.972999999999999</v>
      </c>
      <c r="P11" s="14">
        <v>51.69</v>
      </c>
      <c r="Q11">
        <f t="shared" si="1"/>
        <v>4805.7743700000001</v>
      </c>
    </row>
    <row r="12" spans="1:17" x14ac:dyDescent="0.3">
      <c r="D12" s="14"/>
      <c r="L12" s="15">
        <v>43133</v>
      </c>
      <c r="M12">
        <v>10000</v>
      </c>
      <c r="N12">
        <v>51.765000000000001</v>
      </c>
      <c r="O12">
        <v>193.18100000000001</v>
      </c>
      <c r="P12" s="14">
        <v>51.69</v>
      </c>
      <c r="Q12">
        <f t="shared" si="1"/>
        <v>9985.5258900000008</v>
      </c>
    </row>
    <row r="13" spans="1:17" x14ac:dyDescent="0.3">
      <c r="B13">
        <f>SUM(B3:B10)</f>
        <v>265341.63999999996</v>
      </c>
      <c r="D13">
        <f>SUM(D3:D10)</f>
        <v>10301.415999999997</v>
      </c>
      <c r="F13">
        <f>SUM(F3:F10)</f>
        <v>287295.16068239993</v>
      </c>
      <c r="L13" s="15">
        <v>43136</v>
      </c>
      <c r="M13">
        <v>5000</v>
      </c>
      <c r="N13">
        <v>51.74</v>
      </c>
      <c r="O13">
        <v>96.637</v>
      </c>
      <c r="P13" s="14">
        <v>51.69</v>
      </c>
      <c r="Q13">
        <f t="shared" si="1"/>
        <v>4995.1665299999995</v>
      </c>
    </row>
    <row r="14" spans="1:17" x14ac:dyDescent="0.3">
      <c r="N14">
        <f>AVERAGE(N3:N13)</f>
        <v>50.629272727272721</v>
      </c>
    </row>
    <row r="15" spans="1:17" x14ac:dyDescent="0.3">
      <c r="M15">
        <f>SUM(M3:M13)</f>
        <v>192734.82</v>
      </c>
      <c r="O15">
        <f>SUM(O3:O14)</f>
        <v>3898.2660000000001</v>
      </c>
      <c r="Q15">
        <f>SUM(Q3:Q13)</f>
        <v>201501.36953999999</v>
      </c>
    </row>
    <row r="18" spans="1:22" x14ac:dyDescent="0.3">
      <c r="A18" s="229" t="s">
        <v>948</v>
      </c>
      <c r="B18" s="229"/>
      <c r="C18" s="229"/>
      <c r="D18" s="229"/>
      <c r="E18" s="229"/>
      <c r="F18" s="229"/>
      <c r="I18" s="229" t="s">
        <v>949</v>
      </c>
      <c r="J18" s="229"/>
      <c r="K18" s="229"/>
      <c r="L18" s="229"/>
      <c r="M18" s="229"/>
      <c r="N18" s="229"/>
      <c r="Q18" s="229" t="s">
        <v>950</v>
      </c>
      <c r="R18" s="229"/>
      <c r="S18" s="229"/>
      <c r="T18" s="229"/>
      <c r="U18" s="229"/>
      <c r="V18" s="229"/>
    </row>
    <row r="20" spans="1:22" x14ac:dyDescent="0.3">
      <c r="A20" s="15">
        <v>45342</v>
      </c>
      <c r="C20">
        <v>190000</v>
      </c>
      <c r="I20" s="15">
        <v>45343</v>
      </c>
      <c r="K20">
        <v>190000</v>
      </c>
      <c r="Q20" s="15">
        <v>45343</v>
      </c>
      <c r="S20">
        <v>10000</v>
      </c>
    </row>
    <row r="21" spans="1:22" x14ac:dyDescent="0.3">
      <c r="A21" s="15">
        <v>45345</v>
      </c>
      <c r="C21">
        <v>200000</v>
      </c>
      <c r="I21" s="15">
        <v>45350</v>
      </c>
      <c r="K21">
        <v>200000</v>
      </c>
      <c r="Q21" s="15">
        <v>45344</v>
      </c>
      <c r="S21">
        <v>200000</v>
      </c>
    </row>
    <row r="22" spans="1:22" x14ac:dyDescent="0.3">
      <c r="A22" s="15">
        <v>45348</v>
      </c>
      <c r="C22">
        <v>200000</v>
      </c>
      <c r="I22" s="15">
        <v>45357</v>
      </c>
      <c r="K22">
        <v>200000</v>
      </c>
      <c r="Q22" s="15">
        <v>45349</v>
      </c>
      <c r="S22">
        <v>200000</v>
      </c>
    </row>
    <row r="23" spans="1:22" x14ac:dyDescent="0.3">
      <c r="A23" s="15">
        <v>45351</v>
      </c>
      <c r="C23">
        <v>200000</v>
      </c>
      <c r="I23" s="15">
        <v>45365</v>
      </c>
      <c r="K23">
        <v>200000</v>
      </c>
      <c r="Q23" s="15">
        <v>45365</v>
      </c>
      <c r="S23">
        <v>200000</v>
      </c>
    </row>
    <row r="24" spans="1:22" x14ac:dyDescent="0.3">
      <c r="A24" s="15">
        <v>45356</v>
      </c>
      <c r="C24">
        <v>200000</v>
      </c>
    </row>
  </sheetData>
  <mergeCells count="5">
    <mergeCell ref="A1:F1"/>
    <mergeCell ref="L1:Q1"/>
    <mergeCell ref="A18:F18"/>
    <mergeCell ref="I18:N18"/>
    <mergeCell ref="Q18:V18"/>
  </mergeCells>
  <conditionalFormatting sqref="F9">
    <cfRule type="expression" dxfId="1" priority="1">
      <formula>$F$9&lt;$B$9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D65"/>
  <sheetViews>
    <sheetView workbookViewId="0">
      <selection activeCell="F46" sqref="F46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9.5546875" bestFit="1" customWidth="1"/>
    <col min="6" max="6" width="12" bestFit="1" customWidth="1"/>
    <col min="9" max="9" width="9.88671875" bestFit="1" customWidth="1"/>
    <col min="17" max="17" width="9.88671875" bestFit="1" customWidth="1"/>
    <col min="22" max="22" width="11.109375" bestFit="1" customWidth="1"/>
    <col min="25" max="25" width="10.5546875" bestFit="1" customWidth="1"/>
  </cols>
  <sheetData>
    <row r="1" spans="1:30" x14ac:dyDescent="0.3">
      <c r="A1" s="229" t="s">
        <v>146</v>
      </c>
      <c r="B1" s="229"/>
      <c r="C1" s="229"/>
      <c r="D1" s="229"/>
      <c r="E1" s="229"/>
      <c r="F1" s="229"/>
      <c r="I1" s="229" t="s">
        <v>172</v>
      </c>
      <c r="J1" s="229"/>
      <c r="K1" s="229"/>
      <c r="L1" s="229"/>
      <c r="M1" s="229"/>
      <c r="N1" s="229"/>
      <c r="Q1" s="229" t="s">
        <v>152</v>
      </c>
      <c r="R1" s="229"/>
      <c r="S1" s="229"/>
      <c r="T1" s="229"/>
      <c r="U1" s="229"/>
      <c r="V1" s="229"/>
      <c r="Y1" s="229" t="s">
        <v>120</v>
      </c>
      <c r="Z1" s="229"/>
      <c r="AA1" s="229"/>
      <c r="AB1" s="229"/>
      <c r="AC1" s="229"/>
      <c r="AD1" s="229"/>
    </row>
    <row r="2" spans="1:30" x14ac:dyDescent="0.3">
      <c r="B2" s="4" t="s">
        <v>197</v>
      </c>
      <c r="C2" s="4" t="s">
        <v>148</v>
      </c>
      <c r="D2" s="4" t="s">
        <v>149</v>
      </c>
      <c r="E2" s="4" t="s">
        <v>150</v>
      </c>
      <c r="F2" s="4" t="s">
        <v>151</v>
      </c>
      <c r="K2" s="4" t="s">
        <v>148</v>
      </c>
      <c r="L2" s="4" t="s">
        <v>149</v>
      </c>
      <c r="M2" s="4" t="s">
        <v>150</v>
      </c>
      <c r="N2" s="4" t="s">
        <v>151</v>
      </c>
      <c r="S2" s="4" t="s">
        <v>148</v>
      </c>
      <c r="T2" s="4" t="s">
        <v>149</v>
      </c>
      <c r="U2" s="4" t="s">
        <v>150</v>
      </c>
      <c r="V2" s="4" t="s">
        <v>151</v>
      </c>
      <c r="AA2" s="4" t="s">
        <v>148</v>
      </c>
      <c r="AB2" s="4" t="s">
        <v>149</v>
      </c>
      <c r="AC2" s="4" t="s">
        <v>150</v>
      </c>
      <c r="AD2" s="4" t="s">
        <v>151</v>
      </c>
    </row>
    <row r="3" spans="1:30" x14ac:dyDescent="0.3">
      <c r="A3" s="15">
        <v>43039</v>
      </c>
      <c r="B3" s="13">
        <v>24886.99</v>
      </c>
      <c r="C3">
        <v>520.21439999999996</v>
      </c>
      <c r="D3">
        <v>47.84</v>
      </c>
      <c r="E3">
        <v>475.0881</v>
      </c>
      <c r="F3">
        <f>D3*E3</f>
        <v>22728.214704000002</v>
      </c>
      <c r="I3" s="15">
        <v>42965</v>
      </c>
      <c r="J3">
        <v>5000</v>
      </c>
      <c r="K3">
        <v>45.814999999999998</v>
      </c>
      <c r="L3">
        <v>109.13500000000001</v>
      </c>
      <c r="M3" s="14">
        <v>54.615000000000002</v>
      </c>
      <c r="N3">
        <f t="shared" ref="N3:N21" si="0">L3*M3</f>
        <v>5960.4080250000006</v>
      </c>
      <c r="O3">
        <f>N3-J3</f>
        <v>960.40802500000063</v>
      </c>
      <c r="Q3" s="15">
        <v>42897</v>
      </c>
      <c r="R3">
        <v>1000</v>
      </c>
      <c r="S3">
        <v>53.73</v>
      </c>
      <c r="T3">
        <v>18.611999999999998</v>
      </c>
      <c r="U3" s="14">
        <v>53.43</v>
      </c>
      <c r="V3" s="19">
        <f t="shared" ref="V3:V27" si="1">T3*U3</f>
        <v>994.4391599999999</v>
      </c>
      <c r="Y3" t="s">
        <v>153</v>
      </c>
      <c r="Z3">
        <v>66775.47</v>
      </c>
      <c r="AA3">
        <v>224.39</v>
      </c>
      <c r="AB3">
        <v>297.58800000000002</v>
      </c>
      <c r="AC3" s="14">
        <v>237.62</v>
      </c>
      <c r="AD3">
        <f t="shared" ref="AD3:AD13" si="2">AB3*AC3</f>
        <v>70712.860560000001</v>
      </c>
    </row>
    <row r="4" spans="1:30" x14ac:dyDescent="0.3">
      <c r="A4" s="15">
        <v>43066</v>
      </c>
      <c r="B4">
        <v>2000</v>
      </c>
      <c r="C4">
        <v>538.77</v>
      </c>
      <c r="D4">
        <v>3.7120000000000002</v>
      </c>
      <c r="E4">
        <v>475.0881</v>
      </c>
      <c r="F4">
        <f t="shared" ref="F4:F14" si="3">D4*E4</f>
        <v>1763.5270272</v>
      </c>
      <c r="I4" s="15">
        <v>42999</v>
      </c>
      <c r="J4">
        <v>10000</v>
      </c>
      <c r="K4">
        <v>47.744999999999997</v>
      </c>
      <c r="L4">
        <v>209.446</v>
      </c>
      <c r="M4" s="14">
        <v>54.615000000000002</v>
      </c>
      <c r="N4">
        <f t="shared" si="0"/>
        <v>11438.89329</v>
      </c>
      <c r="O4">
        <f t="shared" ref="O4:O21" si="4">N4-J4</f>
        <v>1438.89329</v>
      </c>
      <c r="Q4" s="15">
        <v>42958</v>
      </c>
      <c r="R4">
        <v>5000</v>
      </c>
      <c r="S4">
        <v>52.62</v>
      </c>
      <c r="T4">
        <v>95.021000000000001</v>
      </c>
      <c r="U4" s="14">
        <v>53.43</v>
      </c>
      <c r="V4" s="19">
        <f t="shared" si="1"/>
        <v>5076.9720299999999</v>
      </c>
      <c r="Y4" t="s">
        <v>154</v>
      </c>
      <c r="Z4">
        <v>10000</v>
      </c>
      <c r="AA4">
        <v>225.24</v>
      </c>
      <c r="AB4">
        <v>44.396999999999998</v>
      </c>
      <c r="AC4" s="14">
        <v>237.62</v>
      </c>
      <c r="AD4">
        <f t="shared" si="2"/>
        <v>10549.61514</v>
      </c>
    </row>
    <row r="5" spans="1:30" x14ac:dyDescent="0.3">
      <c r="A5" s="15">
        <v>43069</v>
      </c>
      <c r="B5">
        <v>5000</v>
      </c>
      <c r="C5">
        <v>538.09550000000002</v>
      </c>
      <c r="D5">
        <v>9.2919999999999998</v>
      </c>
      <c r="E5">
        <v>475.0881</v>
      </c>
      <c r="F5">
        <f t="shared" si="3"/>
        <v>4414.5186252000003</v>
      </c>
      <c r="I5" s="15">
        <v>43000</v>
      </c>
      <c r="J5">
        <v>10000</v>
      </c>
      <c r="K5">
        <v>46.712000000000003</v>
      </c>
      <c r="L5">
        <v>214.078</v>
      </c>
      <c r="M5" s="14">
        <v>54.615000000000002</v>
      </c>
      <c r="N5">
        <f t="shared" si="0"/>
        <v>11691.86997</v>
      </c>
      <c r="O5">
        <f t="shared" si="4"/>
        <v>1691.8699699999997</v>
      </c>
      <c r="Q5" s="15">
        <v>43052</v>
      </c>
      <c r="R5">
        <v>5000</v>
      </c>
      <c r="S5">
        <v>52.56</v>
      </c>
      <c r="T5">
        <v>95.129000000000005</v>
      </c>
      <c r="U5" s="14">
        <v>53.43</v>
      </c>
      <c r="V5" s="19">
        <f t="shared" si="1"/>
        <v>5082.7424700000001</v>
      </c>
      <c r="Y5" s="20">
        <v>42898</v>
      </c>
      <c r="Z5">
        <v>3000</v>
      </c>
      <c r="AA5">
        <v>221.02</v>
      </c>
      <c r="AB5">
        <v>13.573</v>
      </c>
      <c r="AC5" s="14">
        <v>237.62</v>
      </c>
      <c r="AD5">
        <f t="shared" si="2"/>
        <v>3225.2162600000001</v>
      </c>
    </row>
    <row r="6" spans="1:30" x14ac:dyDescent="0.3">
      <c r="A6" s="15">
        <v>43096</v>
      </c>
      <c r="B6">
        <v>64428</v>
      </c>
      <c r="C6">
        <v>557.30029999999999</v>
      </c>
      <c r="D6">
        <v>115.607</v>
      </c>
      <c r="E6">
        <v>475.0881</v>
      </c>
      <c r="F6">
        <f t="shared" si="3"/>
        <v>54923.509976699999</v>
      </c>
      <c r="I6" s="15">
        <v>43003</v>
      </c>
      <c r="J6">
        <v>5000</v>
      </c>
      <c r="K6">
        <v>46.155000000000001</v>
      </c>
      <c r="L6">
        <v>108.331</v>
      </c>
      <c r="M6" s="14">
        <v>54.615000000000002</v>
      </c>
      <c r="N6">
        <f t="shared" si="0"/>
        <v>5916.4975650000006</v>
      </c>
      <c r="O6">
        <f t="shared" si="4"/>
        <v>916.49756500000058</v>
      </c>
      <c r="Q6" s="15">
        <v>43054</v>
      </c>
      <c r="R6">
        <v>5000</v>
      </c>
      <c r="S6">
        <v>52.11</v>
      </c>
      <c r="T6">
        <v>95.950999999999993</v>
      </c>
      <c r="U6" s="14">
        <v>53.43</v>
      </c>
      <c r="V6" s="19">
        <f t="shared" si="1"/>
        <v>5126.6619299999993</v>
      </c>
      <c r="Y6" s="20">
        <v>43081</v>
      </c>
      <c r="Z6">
        <v>5000</v>
      </c>
      <c r="AA6">
        <v>225.65</v>
      </c>
      <c r="AB6">
        <v>22.158000000000001</v>
      </c>
      <c r="AC6" s="14">
        <v>237.62</v>
      </c>
      <c r="AD6">
        <f t="shared" si="2"/>
        <v>5265.1839600000003</v>
      </c>
    </row>
    <row r="7" spans="1:30" x14ac:dyDescent="0.3">
      <c r="A7" s="15">
        <v>43125</v>
      </c>
      <c r="B7">
        <v>10000</v>
      </c>
      <c r="C7">
        <v>553.95820000000003</v>
      </c>
      <c r="D7">
        <v>18.052</v>
      </c>
      <c r="E7">
        <v>475.0881</v>
      </c>
      <c r="F7">
        <f t="shared" si="3"/>
        <v>8576.2903812000004</v>
      </c>
      <c r="I7" s="15">
        <v>43047</v>
      </c>
      <c r="J7">
        <v>5000</v>
      </c>
      <c r="K7">
        <v>48.655999999999999</v>
      </c>
      <c r="L7">
        <v>102.762</v>
      </c>
      <c r="M7" s="14">
        <v>54.615000000000002</v>
      </c>
      <c r="N7">
        <f t="shared" si="0"/>
        <v>5612.34663</v>
      </c>
      <c r="O7">
        <f t="shared" si="4"/>
        <v>612.34663</v>
      </c>
      <c r="Q7" s="15">
        <v>43066</v>
      </c>
      <c r="R7">
        <v>5000</v>
      </c>
      <c r="S7">
        <v>53.34</v>
      </c>
      <c r="T7">
        <v>93.738</v>
      </c>
      <c r="U7" s="14">
        <v>53.43</v>
      </c>
      <c r="V7" s="19">
        <f t="shared" si="1"/>
        <v>5008.4213399999999</v>
      </c>
      <c r="Y7" s="20">
        <v>43374</v>
      </c>
      <c r="Z7">
        <v>10000</v>
      </c>
      <c r="AA7">
        <v>235.12</v>
      </c>
      <c r="AB7">
        <v>42.530999999999999</v>
      </c>
      <c r="AC7" s="14">
        <v>237.62</v>
      </c>
      <c r="AD7">
        <f t="shared" si="2"/>
        <v>10106.21622</v>
      </c>
    </row>
    <row r="8" spans="1:30" x14ac:dyDescent="0.3">
      <c r="A8" s="15">
        <v>43133</v>
      </c>
      <c r="B8">
        <v>10000</v>
      </c>
      <c r="C8">
        <v>525.75040000000001</v>
      </c>
      <c r="D8">
        <v>19.02</v>
      </c>
      <c r="E8">
        <v>475.0881</v>
      </c>
      <c r="F8">
        <f t="shared" si="3"/>
        <v>9036.1756619999996</v>
      </c>
      <c r="I8" s="15">
        <v>43054</v>
      </c>
      <c r="J8">
        <v>5000</v>
      </c>
      <c r="K8">
        <v>47.968000000000004</v>
      </c>
      <c r="L8">
        <v>104.236</v>
      </c>
      <c r="M8" s="14">
        <v>54.615000000000002</v>
      </c>
      <c r="N8">
        <f t="shared" si="0"/>
        <v>5692.8491400000003</v>
      </c>
      <c r="O8">
        <f t="shared" si="4"/>
        <v>692.84914000000026</v>
      </c>
      <c r="Q8" s="15">
        <v>43073</v>
      </c>
      <c r="R8">
        <v>10000</v>
      </c>
      <c r="S8">
        <v>52.21</v>
      </c>
      <c r="T8">
        <v>191.53399999999999</v>
      </c>
      <c r="U8" s="14">
        <v>53.43</v>
      </c>
      <c r="V8" s="19">
        <f t="shared" si="1"/>
        <v>10233.661619999999</v>
      </c>
      <c r="Y8" t="s">
        <v>155</v>
      </c>
      <c r="Z8">
        <v>10000</v>
      </c>
      <c r="AA8">
        <v>239.29</v>
      </c>
      <c r="AB8">
        <v>41.79</v>
      </c>
      <c r="AC8" s="14">
        <v>237.62</v>
      </c>
      <c r="AD8">
        <f t="shared" si="2"/>
        <v>9930.1398000000008</v>
      </c>
    </row>
    <row r="9" spans="1:30" x14ac:dyDescent="0.3">
      <c r="A9" s="15">
        <v>43153</v>
      </c>
      <c r="B9">
        <v>3000</v>
      </c>
      <c r="C9">
        <v>519.55989999999997</v>
      </c>
      <c r="D9">
        <v>5.774</v>
      </c>
      <c r="E9">
        <v>475.0881</v>
      </c>
      <c r="F9">
        <f>D9*E9</f>
        <v>2743.1586894000002</v>
      </c>
      <c r="I9" s="15">
        <v>43066</v>
      </c>
      <c r="J9">
        <v>5000</v>
      </c>
      <c r="K9">
        <v>49.540999999999997</v>
      </c>
      <c r="L9">
        <v>100.92700000000001</v>
      </c>
      <c r="M9" s="14">
        <v>54.615000000000002</v>
      </c>
      <c r="N9">
        <f t="shared" si="0"/>
        <v>5512.1281050000007</v>
      </c>
      <c r="O9">
        <f t="shared" si="4"/>
        <v>512.12810500000069</v>
      </c>
      <c r="Q9" s="15">
        <v>43075</v>
      </c>
      <c r="R9">
        <v>3000</v>
      </c>
      <c r="S9">
        <v>51.62</v>
      </c>
      <c r="T9">
        <v>58.116999999999997</v>
      </c>
      <c r="U9" s="14">
        <v>53.43</v>
      </c>
      <c r="V9" s="19">
        <f t="shared" si="1"/>
        <v>3105.1913099999997</v>
      </c>
      <c r="Y9" s="20">
        <v>43133</v>
      </c>
      <c r="Z9">
        <v>10000</v>
      </c>
      <c r="AA9">
        <v>231.43</v>
      </c>
      <c r="AB9">
        <v>43.21</v>
      </c>
      <c r="AC9" s="14">
        <v>237.62</v>
      </c>
      <c r="AD9">
        <f t="shared" si="2"/>
        <v>10267.5602</v>
      </c>
    </row>
    <row r="10" spans="1:30" x14ac:dyDescent="0.3">
      <c r="A10" s="15">
        <v>43164</v>
      </c>
      <c r="B10">
        <v>5000</v>
      </c>
      <c r="C10">
        <v>524.74609999999996</v>
      </c>
      <c r="D10">
        <v>9.5280000000000005</v>
      </c>
      <c r="E10">
        <v>475.0881</v>
      </c>
      <c r="F10">
        <f t="shared" si="3"/>
        <v>4526.6394168000006</v>
      </c>
      <c r="I10" s="15">
        <v>43073</v>
      </c>
      <c r="J10">
        <v>10000</v>
      </c>
      <c r="K10">
        <v>48.295000000000002</v>
      </c>
      <c r="L10">
        <v>207.06100000000001</v>
      </c>
      <c r="M10" s="14">
        <v>54.615000000000002</v>
      </c>
      <c r="N10">
        <f t="shared" si="0"/>
        <v>11308.636515</v>
      </c>
      <c r="O10">
        <f t="shared" si="4"/>
        <v>1308.6365150000001</v>
      </c>
      <c r="Q10" s="15">
        <v>43081</v>
      </c>
      <c r="R10">
        <v>10000</v>
      </c>
      <c r="S10">
        <v>52.37</v>
      </c>
      <c r="T10">
        <v>190.94900000000001</v>
      </c>
      <c r="U10" s="14">
        <v>53.43</v>
      </c>
      <c r="V10" s="19">
        <f t="shared" si="1"/>
        <v>10202.405070000001</v>
      </c>
      <c r="Y10" s="20">
        <v>43222</v>
      </c>
      <c r="Z10">
        <v>10000</v>
      </c>
      <c r="AA10">
        <v>230.24</v>
      </c>
      <c r="AB10">
        <v>43.433</v>
      </c>
      <c r="AC10" s="14">
        <v>237.62</v>
      </c>
      <c r="AD10">
        <f t="shared" si="2"/>
        <v>10320.54946</v>
      </c>
    </row>
    <row r="11" spans="1:30" x14ac:dyDescent="0.3">
      <c r="A11" s="15">
        <v>43182</v>
      </c>
      <c r="B11">
        <v>5000</v>
      </c>
      <c r="C11" s="14">
        <v>503.23360000000002</v>
      </c>
      <c r="D11">
        <v>9.9357000000000006</v>
      </c>
      <c r="E11">
        <v>475.0881</v>
      </c>
      <c r="F11">
        <f>D11*E11</f>
        <v>4720.3328351700002</v>
      </c>
      <c r="I11" s="15">
        <v>43075</v>
      </c>
      <c r="J11">
        <v>2000</v>
      </c>
      <c r="K11">
        <v>47.859000000000002</v>
      </c>
      <c r="L11">
        <v>41.789000000000001</v>
      </c>
      <c r="M11" s="14">
        <v>54.615000000000002</v>
      </c>
      <c r="N11">
        <f t="shared" si="0"/>
        <v>2282.306235</v>
      </c>
      <c r="O11">
        <f t="shared" si="4"/>
        <v>282.30623500000002</v>
      </c>
      <c r="Q11" s="15">
        <v>43110</v>
      </c>
      <c r="R11">
        <v>10000</v>
      </c>
      <c r="S11">
        <v>54.5</v>
      </c>
      <c r="T11">
        <v>183.48599999999999</v>
      </c>
      <c r="U11" s="14">
        <v>53.43</v>
      </c>
      <c r="V11" s="19">
        <f t="shared" si="1"/>
        <v>9803.6569799999997</v>
      </c>
      <c r="Y11" s="15">
        <v>43153</v>
      </c>
      <c r="Z11">
        <v>3000</v>
      </c>
      <c r="AA11" s="13">
        <v>223.47</v>
      </c>
      <c r="AB11">
        <v>13.425000000000001</v>
      </c>
      <c r="AC11" s="14">
        <v>237.62</v>
      </c>
      <c r="AD11">
        <f t="shared" si="2"/>
        <v>3190.0485000000003</v>
      </c>
    </row>
    <row r="12" spans="1:30" x14ac:dyDescent="0.3">
      <c r="A12" s="15">
        <v>43224</v>
      </c>
      <c r="B12">
        <v>10000</v>
      </c>
      <c r="C12">
        <v>538.95540000000005</v>
      </c>
      <c r="D12">
        <v>19.468</v>
      </c>
      <c r="E12">
        <v>475.0881</v>
      </c>
      <c r="F12">
        <f t="shared" si="3"/>
        <v>9249.0151308000004</v>
      </c>
      <c r="I12" s="15">
        <v>43081</v>
      </c>
      <c r="J12">
        <v>10000</v>
      </c>
      <c r="K12">
        <v>48.975000000000001</v>
      </c>
      <c r="L12">
        <v>204.18600000000001</v>
      </c>
      <c r="M12" s="14">
        <v>54.615000000000002</v>
      </c>
      <c r="N12">
        <f t="shared" si="0"/>
        <v>11151.618390000001</v>
      </c>
      <c r="O12">
        <f t="shared" si="4"/>
        <v>1151.6183900000015</v>
      </c>
      <c r="Q12" s="15">
        <v>43129</v>
      </c>
      <c r="R12">
        <v>10000</v>
      </c>
      <c r="S12">
        <v>55.83</v>
      </c>
      <c r="T12">
        <v>179.11500000000001</v>
      </c>
      <c r="U12" s="14">
        <v>53.43</v>
      </c>
      <c r="V12" s="19">
        <f t="shared" si="1"/>
        <v>9570.1144500000009</v>
      </c>
      <c r="Y12" s="15">
        <v>43162</v>
      </c>
      <c r="Z12">
        <v>5000</v>
      </c>
      <c r="AA12">
        <v>223.27</v>
      </c>
      <c r="AB12">
        <v>22.393999999999998</v>
      </c>
      <c r="AC12" s="14">
        <v>237.62</v>
      </c>
      <c r="AD12">
        <f t="shared" si="2"/>
        <v>5321.2622799999999</v>
      </c>
    </row>
    <row r="13" spans="1:30" x14ac:dyDescent="0.3">
      <c r="A13" s="15">
        <v>43256</v>
      </c>
      <c r="B13">
        <v>5000</v>
      </c>
      <c r="C13">
        <v>508.83069999999998</v>
      </c>
      <c r="D13">
        <v>9.8260000000000005</v>
      </c>
      <c r="E13">
        <v>475.0881</v>
      </c>
      <c r="F13">
        <f t="shared" si="3"/>
        <v>4668.2156706000005</v>
      </c>
      <c r="I13" s="15">
        <v>43110</v>
      </c>
      <c r="J13">
        <v>10000</v>
      </c>
      <c r="K13">
        <v>51.021000000000001</v>
      </c>
      <c r="L13">
        <v>195.99799999999999</v>
      </c>
      <c r="M13" s="14">
        <v>54.615000000000002</v>
      </c>
      <c r="N13">
        <f t="shared" si="0"/>
        <v>10704.430769999999</v>
      </c>
      <c r="O13">
        <f t="shared" si="4"/>
        <v>704.43076999999903</v>
      </c>
      <c r="Q13" s="15">
        <v>43130</v>
      </c>
      <c r="R13">
        <v>5000</v>
      </c>
      <c r="S13">
        <v>55.59</v>
      </c>
      <c r="T13">
        <v>89.944000000000003</v>
      </c>
      <c r="U13" s="14">
        <v>53.43</v>
      </c>
      <c r="V13" s="19">
        <f t="shared" si="1"/>
        <v>4805.7079199999998</v>
      </c>
      <c r="Y13" s="15">
        <v>43167</v>
      </c>
      <c r="Z13">
        <v>10000</v>
      </c>
      <c r="AA13">
        <v>220.81</v>
      </c>
      <c r="AB13">
        <v>45.286999999999999</v>
      </c>
      <c r="AC13" s="14">
        <v>237.62</v>
      </c>
      <c r="AD13">
        <f t="shared" si="2"/>
        <v>10761.096939999999</v>
      </c>
    </row>
    <row r="14" spans="1:30" x14ac:dyDescent="0.3">
      <c r="A14" s="15">
        <v>43278</v>
      </c>
      <c r="B14">
        <v>10000</v>
      </c>
      <c r="C14">
        <v>497.24930000000001</v>
      </c>
      <c r="D14">
        <v>20.111000000000001</v>
      </c>
      <c r="E14">
        <v>475.0881</v>
      </c>
      <c r="F14">
        <f t="shared" si="3"/>
        <v>9554.4967790999999</v>
      </c>
      <c r="I14" s="15">
        <v>43129</v>
      </c>
      <c r="J14">
        <v>10000</v>
      </c>
      <c r="K14">
        <v>52.433</v>
      </c>
      <c r="L14">
        <v>190.72</v>
      </c>
      <c r="M14" s="14">
        <v>54.615000000000002</v>
      </c>
      <c r="N14">
        <f t="shared" si="0"/>
        <v>10416.1728</v>
      </c>
      <c r="O14">
        <f t="shared" si="4"/>
        <v>416.17280000000028</v>
      </c>
      <c r="Q14" s="15">
        <v>43136</v>
      </c>
      <c r="R14">
        <v>20000</v>
      </c>
      <c r="S14">
        <v>53.56</v>
      </c>
      <c r="T14">
        <v>373.41300000000001</v>
      </c>
      <c r="U14" s="14">
        <v>53.43</v>
      </c>
      <c r="V14" s="19">
        <f t="shared" si="1"/>
        <v>19951.456590000002</v>
      </c>
      <c r="AB14">
        <f>SUM(AB3:AB13)</f>
        <v>629.78600000000006</v>
      </c>
    </row>
    <row r="15" spans="1:30" x14ac:dyDescent="0.3">
      <c r="I15" s="15">
        <v>43130</v>
      </c>
      <c r="J15">
        <v>5000</v>
      </c>
      <c r="K15">
        <v>52.072000000000003</v>
      </c>
      <c r="L15">
        <v>96.021000000000001</v>
      </c>
      <c r="M15" s="14">
        <v>54.615000000000002</v>
      </c>
      <c r="N15">
        <f t="shared" si="0"/>
        <v>5244.1869150000002</v>
      </c>
      <c r="O15">
        <f t="shared" si="4"/>
        <v>244.18691500000023</v>
      </c>
      <c r="Q15" s="15">
        <v>43136</v>
      </c>
      <c r="R15">
        <v>10000</v>
      </c>
      <c r="S15">
        <v>53.56</v>
      </c>
      <c r="T15">
        <v>186.70599999999999</v>
      </c>
      <c r="U15" s="14">
        <v>53.43</v>
      </c>
      <c r="V15" s="19">
        <f t="shared" si="1"/>
        <v>9975.701579999999</v>
      </c>
    </row>
    <row r="16" spans="1:30" x14ac:dyDescent="0.3">
      <c r="C16">
        <f>SUM(C3:C15)</f>
        <v>6326.6637999999994</v>
      </c>
      <c r="I16" s="15">
        <v>43136</v>
      </c>
      <c r="J16">
        <v>10000</v>
      </c>
      <c r="K16">
        <v>49.738</v>
      </c>
      <c r="L16">
        <v>201.054</v>
      </c>
      <c r="M16" s="14">
        <v>54.615000000000002</v>
      </c>
      <c r="N16">
        <f t="shared" si="0"/>
        <v>10980.56421</v>
      </c>
      <c r="O16">
        <f t="shared" si="4"/>
        <v>980.56421000000046</v>
      </c>
      <c r="Q16" s="15">
        <v>43153</v>
      </c>
      <c r="R16">
        <v>3000</v>
      </c>
      <c r="S16">
        <v>52.47</v>
      </c>
      <c r="T16">
        <v>57.176000000000002</v>
      </c>
      <c r="U16" s="14">
        <v>53.43</v>
      </c>
      <c r="V16" s="19">
        <f t="shared" si="1"/>
        <v>3054.9136800000001</v>
      </c>
    </row>
    <row r="17" spans="1:28" x14ac:dyDescent="0.3">
      <c r="B17" s="13">
        <f>SUM(B3:B14)</f>
        <v>154314.99</v>
      </c>
      <c r="D17">
        <f>SUM(D3:D14)</f>
        <v>288.16570000000002</v>
      </c>
      <c r="F17">
        <f>SUM(F3:F14)</f>
        <v>136904.09489817001</v>
      </c>
      <c r="I17" s="15">
        <v>43136</v>
      </c>
      <c r="J17">
        <v>10000</v>
      </c>
      <c r="K17">
        <v>49.738</v>
      </c>
      <c r="L17">
        <v>201.054</v>
      </c>
      <c r="M17" s="14">
        <v>54.615000000000002</v>
      </c>
      <c r="N17">
        <f t="shared" si="0"/>
        <v>10980.56421</v>
      </c>
      <c r="O17">
        <f t="shared" si="4"/>
        <v>980.56421000000046</v>
      </c>
      <c r="Q17" s="15">
        <v>43158</v>
      </c>
      <c r="R17">
        <v>10000</v>
      </c>
      <c r="S17">
        <v>53.09</v>
      </c>
      <c r="T17">
        <v>188.35939999999999</v>
      </c>
      <c r="U17" s="14">
        <v>53.43</v>
      </c>
      <c r="V17" s="19">
        <f t="shared" si="1"/>
        <v>10064.042742</v>
      </c>
      <c r="Z17">
        <f>Z10+Z13</f>
        <v>20000</v>
      </c>
      <c r="AA17">
        <f>(AA10+AA13)/2</f>
        <v>225.52500000000001</v>
      </c>
      <c r="AB17">
        <f>AB10+AB13</f>
        <v>88.72</v>
      </c>
    </row>
    <row r="18" spans="1:28" x14ac:dyDescent="0.3">
      <c r="I18" s="15">
        <v>43153</v>
      </c>
      <c r="J18">
        <v>3000</v>
      </c>
      <c r="K18">
        <v>48.331000000000003</v>
      </c>
      <c r="L18">
        <v>62.072000000000003</v>
      </c>
      <c r="M18" s="14">
        <v>54.615000000000002</v>
      </c>
      <c r="N18">
        <f t="shared" si="0"/>
        <v>3390.0622800000001</v>
      </c>
      <c r="O18">
        <f t="shared" si="4"/>
        <v>390.0622800000001</v>
      </c>
      <c r="Q18" s="15">
        <v>43159</v>
      </c>
      <c r="R18">
        <v>5000</v>
      </c>
      <c r="S18">
        <v>52.98</v>
      </c>
      <c r="T18">
        <v>94.37</v>
      </c>
      <c r="U18" s="14">
        <v>53.43</v>
      </c>
      <c r="V18" s="19">
        <f t="shared" si="1"/>
        <v>5042.1891000000005</v>
      </c>
      <c r="AA18">
        <f>AA17*AB17</f>
        <v>20008.578000000001</v>
      </c>
    </row>
    <row r="19" spans="1:28" x14ac:dyDescent="0.3">
      <c r="A19" s="229" t="s">
        <v>20</v>
      </c>
      <c r="B19" s="229"/>
      <c r="C19" s="229"/>
      <c r="D19" s="229"/>
      <c r="E19" s="229"/>
      <c r="F19" s="229"/>
      <c r="I19" s="15">
        <v>43162</v>
      </c>
      <c r="J19">
        <v>5000</v>
      </c>
      <c r="K19">
        <v>48.34</v>
      </c>
      <c r="L19">
        <v>103.434</v>
      </c>
      <c r="M19" s="14">
        <v>54.615000000000002</v>
      </c>
      <c r="N19">
        <f t="shared" si="0"/>
        <v>5649.0479100000002</v>
      </c>
      <c r="O19">
        <f t="shared" si="4"/>
        <v>649.04791000000023</v>
      </c>
      <c r="Q19" s="15">
        <v>43162</v>
      </c>
      <c r="R19">
        <v>5000</v>
      </c>
      <c r="S19">
        <v>52.25</v>
      </c>
      <c r="T19">
        <v>95.694000000000003</v>
      </c>
      <c r="U19" s="14">
        <v>53.43</v>
      </c>
      <c r="V19" s="19">
        <f t="shared" si="1"/>
        <v>5112.9304199999997</v>
      </c>
    </row>
    <row r="20" spans="1:28" x14ac:dyDescent="0.3">
      <c r="B20" s="4" t="s">
        <v>197</v>
      </c>
      <c r="C20" s="4" t="s">
        <v>148</v>
      </c>
      <c r="D20" s="4" t="s">
        <v>149</v>
      </c>
      <c r="E20" s="4" t="s">
        <v>150</v>
      </c>
      <c r="F20" s="4" t="s">
        <v>151</v>
      </c>
      <c r="I20" s="15">
        <v>43182</v>
      </c>
      <c r="J20">
        <v>5000</v>
      </c>
      <c r="K20">
        <v>46.956000000000003</v>
      </c>
      <c r="L20">
        <v>106.483</v>
      </c>
      <c r="M20" s="14">
        <v>54.615000000000002</v>
      </c>
      <c r="N20">
        <f t="shared" si="0"/>
        <v>5815.5690450000002</v>
      </c>
      <c r="O20">
        <f t="shared" si="4"/>
        <v>815.56904500000019</v>
      </c>
      <c r="Q20" s="15">
        <v>43167</v>
      </c>
      <c r="R20">
        <v>10000</v>
      </c>
      <c r="S20">
        <v>51.71</v>
      </c>
      <c r="T20">
        <v>193.386</v>
      </c>
      <c r="U20" s="14">
        <v>53.43</v>
      </c>
      <c r="V20" s="19">
        <f t="shared" si="1"/>
        <v>10332.61398</v>
      </c>
    </row>
    <row r="21" spans="1:28" x14ac:dyDescent="0.3">
      <c r="A21" s="15">
        <v>42936</v>
      </c>
      <c r="B21">
        <v>119023</v>
      </c>
      <c r="C21">
        <v>25.5291</v>
      </c>
      <c r="D21">
        <v>4662.2709999999997</v>
      </c>
      <c r="E21" s="14">
        <v>27.8889</v>
      </c>
      <c r="F21">
        <f>D21*E21</f>
        <v>130025.6096919</v>
      </c>
      <c r="I21" s="15">
        <v>43241</v>
      </c>
      <c r="J21">
        <v>5000</v>
      </c>
      <c r="K21">
        <v>47.91</v>
      </c>
      <c r="L21">
        <v>104.36199999999999</v>
      </c>
      <c r="M21" s="14">
        <v>54.615000000000002</v>
      </c>
      <c r="N21">
        <f t="shared" si="0"/>
        <v>5699.73063</v>
      </c>
      <c r="O21">
        <f t="shared" si="4"/>
        <v>699.73063000000002</v>
      </c>
      <c r="Q21" s="15">
        <v>43178</v>
      </c>
      <c r="R21">
        <v>10000</v>
      </c>
      <c r="S21">
        <v>50.99</v>
      </c>
      <c r="T21">
        <v>196.11699999999999</v>
      </c>
      <c r="U21" s="14">
        <v>53.43</v>
      </c>
      <c r="V21" s="19">
        <f t="shared" si="1"/>
        <v>10478.53131</v>
      </c>
    </row>
    <row r="22" spans="1:28" x14ac:dyDescent="0.3">
      <c r="A22" s="15">
        <v>42940</v>
      </c>
      <c r="B22">
        <v>99559.86</v>
      </c>
      <c r="C22">
        <v>25.447399999999998</v>
      </c>
      <c r="D22">
        <v>3912.3780000000002</v>
      </c>
      <c r="E22" s="14">
        <v>27.8889</v>
      </c>
      <c r="F22">
        <f t="shared" ref="F22:F28" si="5">D22*E22</f>
        <v>109111.9188042</v>
      </c>
      <c r="I22" s="15">
        <v>43256</v>
      </c>
      <c r="J22">
        <v>5000</v>
      </c>
      <c r="K22">
        <v>48.442999999999998</v>
      </c>
      <c r="L22">
        <v>103.214</v>
      </c>
      <c r="M22" s="14">
        <v>54.615000000000002</v>
      </c>
      <c r="N22">
        <f>L22*M22</f>
        <v>5637.0326100000002</v>
      </c>
      <c r="O22">
        <f>N22-J22</f>
        <v>637.0326100000002</v>
      </c>
      <c r="Q22" s="15">
        <v>43182</v>
      </c>
      <c r="R22">
        <v>5000</v>
      </c>
      <c r="S22">
        <v>50.74</v>
      </c>
      <c r="T22">
        <v>98.542000000000002</v>
      </c>
      <c r="U22" s="14">
        <v>53.43</v>
      </c>
      <c r="V22" s="19">
        <f t="shared" si="1"/>
        <v>5265.0990600000005</v>
      </c>
    </row>
    <row r="23" spans="1:28" x14ac:dyDescent="0.3">
      <c r="A23" s="15">
        <v>42958</v>
      </c>
      <c r="B23">
        <v>4312.43</v>
      </c>
      <c r="C23">
        <v>25.690200000000001</v>
      </c>
      <c r="D23">
        <v>167.863</v>
      </c>
      <c r="E23" s="14">
        <v>27.8889</v>
      </c>
      <c r="F23">
        <f t="shared" si="5"/>
        <v>4681.5144207000003</v>
      </c>
      <c r="Q23" s="15">
        <v>43237</v>
      </c>
      <c r="R23">
        <v>10000</v>
      </c>
      <c r="S23" s="13">
        <v>52.62</v>
      </c>
      <c r="T23">
        <v>190.042</v>
      </c>
      <c r="U23" s="14">
        <v>53.43</v>
      </c>
      <c r="V23" s="19">
        <f t="shared" si="1"/>
        <v>10153.94406</v>
      </c>
    </row>
    <row r="24" spans="1:28" x14ac:dyDescent="0.3">
      <c r="A24" s="15">
        <v>42999</v>
      </c>
      <c r="B24">
        <v>4502.58</v>
      </c>
      <c r="C24">
        <v>27.305900000000001</v>
      </c>
      <c r="D24">
        <v>164.89400000000001</v>
      </c>
      <c r="E24" s="14">
        <v>27.8889</v>
      </c>
      <c r="F24">
        <f t="shared" si="5"/>
        <v>4598.7122766000002</v>
      </c>
      <c r="Q24" s="15">
        <v>43240</v>
      </c>
      <c r="R24">
        <v>5000</v>
      </c>
      <c r="S24">
        <v>51.67</v>
      </c>
      <c r="T24">
        <v>96.768000000000001</v>
      </c>
      <c r="U24" s="14">
        <v>53.43</v>
      </c>
      <c r="V24" s="19">
        <f t="shared" si="1"/>
        <v>5170.3142399999997</v>
      </c>
    </row>
    <row r="25" spans="1:28" x14ac:dyDescent="0.3">
      <c r="A25" s="15">
        <v>43031</v>
      </c>
      <c r="B25">
        <v>17943.77</v>
      </c>
      <c r="C25">
        <v>26.900700000000001</v>
      </c>
      <c r="D25">
        <v>667.03700000000003</v>
      </c>
      <c r="E25" s="14">
        <v>27.8889</v>
      </c>
      <c r="F25">
        <f t="shared" si="5"/>
        <v>18602.928189300001</v>
      </c>
      <c r="Q25" s="15">
        <v>43241</v>
      </c>
      <c r="R25">
        <v>5000</v>
      </c>
      <c r="S25">
        <v>51.67</v>
      </c>
      <c r="T25">
        <v>96.768000000000001</v>
      </c>
      <c r="U25" s="14">
        <v>53.43</v>
      </c>
      <c r="V25" s="19">
        <f t="shared" si="1"/>
        <v>5170.3142399999997</v>
      </c>
    </row>
    <row r="26" spans="1:28" x14ac:dyDescent="0.3">
      <c r="A26" s="15">
        <v>43069</v>
      </c>
      <c r="B26">
        <v>10000</v>
      </c>
      <c r="C26">
        <v>27.14</v>
      </c>
      <c r="D26">
        <v>368.46</v>
      </c>
      <c r="E26" s="14">
        <v>27.8889</v>
      </c>
      <c r="F26">
        <f t="shared" si="5"/>
        <v>10275.944093999999</v>
      </c>
      <c r="Q26" s="15">
        <v>43256</v>
      </c>
      <c r="R26">
        <v>5000</v>
      </c>
      <c r="S26">
        <v>51.86</v>
      </c>
      <c r="T26">
        <v>96.412999999999997</v>
      </c>
      <c r="U26" s="14">
        <v>53.43</v>
      </c>
      <c r="V26" s="19">
        <f t="shared" si="1"/>
        <v>5151.3465900000001</v>
      </c>
    </row>
    <row r="27" spans="1:28" x14ac:dyDescent="0.3">
      <c r="A27" s="15">
        <v>43081</v>
      </c>
      <c r="B27">
        <v>5000</v>
      </c>
      <c r="C27">
        <v>27.479500000000002</v>
      </c>
      <c r="D27">
        <v>181.95400000000001</v>
      </c>
      <c r="E27" s="14">
        <v>27.8889</v>
      </c>
      <c r="F27">
        <f t="shared" si="5"/>
        <v>5074.4969105999999</v>
      </c>
      <c r="Q27" s="15">
        <v>43279</v>
      </c>
      <c r="R27">
        <v>5000</v>
      </c>
      <c r="S27">
        <v>51.64</v>
      </c>
      <c r="T27">
        <v>96.823999999999998</v>
      </c>
      <c r="U27" s="14">
        <v>53.43</v>
      </c>
      <c r="V27" s="19">
        <f t="shared" si="1"/>
        <v>5173.3063199999997</v>
      </c>
    </row>
    <row r="28" spans="1:28" x14ac:dyDescent="0.3">
      <c r="A28" s="15">
        <v>43130</v>
      </c>
      <c r="B28">
        <v>5000</v>
      </c>
      <c r="C28">
        <v>28.319199999999999</v>
      </c>
      <c r="D28">
        <v>176.559</v>
      </c>
      <c r="E28" s="14">
        <v>27.8889</v>
      </c>
      <c r="F28">
        <f t="shared" si="5"/>
        <v>4924.0362950999997</v>
      </c>
      <c r="J28">
        <f>SUM(J3:J27)</f>
        <v>135000</v>
      </c>
      <c r="K28">
        <f>AVERAGE(K3:K27)</f>
        <v>48.635149999999996</v>
      </c>
      <c r="N28">
        <f>SUM(N3:N27)</f>
        <v>151084.91524500001</v>
      </c>
    </row>
    <row r="29" spans="1:28" x14ac:dyDescent="0.3">
      <c r="C29">
        <f>AVERAGE(C21:C28)</f>
        <v>26.726500000000001</v>
      </c>
      <c r="S29">
        <f>AVERAGE(S3:S27)</f>
        <v>52.691600000000001</v>
      </c>
    </row>
    <row r="30" spans="1:28" x14ac:dyDescent="0.3">
      <c r="D30" s="14"/>
      <c r="R30">
        <f>SUM(R3:R27)</f>
        <v>177000</v>
      </c>
      <c r="V30" s="19">
        <f>SUM(V3:V27)</f>
        <v>179106.67819200002</v>
      </c>
    </row>
    <row r="31" spans="1:28" x14ac:dyDescent="0.3">
      <c r="B31">
        <f>SUM(B21:B28)</f>
        <v>265341.63999999996</v>
      </c>
      <c r="D31">
        <f>SUM(D21:D28)</f>
        <v>10301.415999999997</v>
      </c>
      <c r="F31">
        <f>SUM(F21:F28)</f>
        <v>287295.16068239993</v>
      </c>
    </row>
    <row r="34" spans="1:6" x14ac:dyDescent="0.3">
      <c r="A34" s="229" t="s">
        <v>182</v>
      </c>
      <c r="B34" s="229"/>
      <c r="C34" s="229"/>
      <c r="D34" s="229"/>
      <c r="E34" s="229"/>
      <c r="F34" s="229"/>
    </row>
    <row r="35" spans="1:6" x14ac:dyDescent="0.3">
      <c r="B35" s="4" t="s">
        <v>197</v>
      </c>
      <c r="C35" s="4" t="s">
        <v>148</v>
      </c>
      <c r="D35" s="4" t="s">
        <v>149</v>
      </c>
      <c r="E35" s="4" t="s">
        <v>150</v>
      </c>
      <c r="F35" s="4" t="s">
        <v>151</v>
      </c>
    </row>
    <row r="36" spans="1:6" x14ac:dyDescent="0.3">
      <c r="A36" s="15">
        <v>43237</v>
      </c>
      <c r="B36">
        <v>5000</v>
      </c>
      <c r="C36">
        <v>465.26740000000001</v>
      </c>
      <c r="D36" s="6">
        <v>10.747</v>
      </c>
      <c r="E36" s="14">
        <v>472.50810000000001</v>
      </c>
      <c r="F36">
        <f>D36*E36</f>
        <v>5078.0445507000004</v>
      </c>
    </row>
    <row r="37" spans="1:6" x14ac:dyDescent="0.3">
      <c r="A37" s="15">
        <v>43238</v>
      </c>
      <c r="B37">
        <v>5000</v>
      </c>
      <c r="C37">
        <v>460.63760000000002</v>
      </c>
      <c r="D37">
        <v>10.855</v>
      </c>
      <c r="E37" s="14">
        <v>472.50810000000001</v>
      </c>
      <c r="F37">
        <f>D37*E37</f>
        <v>5129.0754255000002</v>
      </c>
    </row>
    <row r="38" spans="1:6" x14ac:dyDescent="0.3">
      <c r="A38" s="15">
        <v>43241</v>
      </c>
      <c r="B38">
        <v>5000</v>
      </c>
      <c r="C38">
        <v>456.37920000000003</v>
      </c>
      <c r="D38">
        <v>10.956</v>
      </c>
      <c r="E38" s="14">
        <v>472.50810000000001</v>
      </c>
      <c r="F38">
        <f>D38*E38</f>
        <v>5176.7987436000003</v>
      </c>
    </row>
    <row r="43" spans="1:6" x14ac:dyDescent="0.3">
      <c r="A43" s="229" t="s">
        <v>301</v>
      </c>
      <c r="B43" s="229"/>
      <c r="C43" s="229"/>
      <c r="D43" s="229"/>
      <c r="E43" s="229"/>
      <c r="F43" s="229"/>
    </row>
    <row r="44" spans="1:6" x14ac:dyDescent="0.3">
      <c r="B44" s="4" t="s">
        <v>197</v>
      </c>
      <c r="C44" s="4" t="s">
        <v>148</v>
      </c>
      <c r="D44" s="4" t="s">
        <v>149</v>
      </c>
      <c r="E44" s="4" t="s">
        <v>150</v>
      </c>
      <c r="F44" s="4" t="s">
        <v>151</v>
      </c>
    </row>
    <row r="45" spans="1:6" x14ac:dyDescent="0.3">
      <c r="A45" s="20">
        <v>43534</v>
      </c>
      <c r="B45">
        <v>200000</v>
      </c>
      <c r="C45" s="4">
        <v>285.85939999999999</v>
      </c>
      <c r="D45">
        <v>699.64499999999998</v>
      </c>
      <c r="E45" s="14">
        <v>291.40460000000002</v>
      </c>
      <c r="F45" s="14">
        <f>E45*D45</f>
        <v>203879.77136700001</v>
      </c>
    </row>
    <row r="46" spans="1:6" x14ac:dyDescent="0.3">
      <c r="A46" s="20">
        <v>43626</v>
      </c>
      <c r="B46">
        <v>100000</v>
      </c>
      <c r="C46" s="14">
        <v>286.0093</v>
      </c>
      <c r="D46">
        <v>349.63900000000001</v>
      </c>
      <c r="E46" s="14">
        <v>291.40460000000002</v>
      </c>
      <c r="F46" s="14">
        <f>E46*D46</f>
        <v>101886.4129394</v>
      </c>
    </row>
    <row r="47" spans="1:6" x14ac:dyDescent="0.3">
      <c r="E47" s="14"/>
      <c r="F47" s="14"/>
    </row>
    <row r="48" spans="1:6" x14ac:dyDescent="0.3">
      <c r="A48" s="20"/>
      <c r="C48" s="14"/>
      <c r="E48" s="14"/>
      <c r="F48" s="14"/>
    </row>
    <row r="49" spans="1:6" x14ac:dyDescent="0.3">
      <c r="A49" s="20"/>
      <c r="C49" s="14"/>
      <c r="E49" s="14"/>
      <c r="F49" s="14"/>
    </row>
    <row r="50" spans="1:6" x14ac:dyDescent="0.3">
      <c r="A50" s="20"/>
      <c r="C50" s="14"/>
      <c r="E50" s="14"/>
      <c r="F50" s="14"/>
    </row>
    <row r="51" spans="1:6" x14ac:dyDescent="0.3">
      <c r="C51" s="14"/>
      <c r="E51" s="14"/>
      <c r="F51" s="14"/>
    </row>
    <row r="52" spans="1:6" x14ac:dyDescent="0.3">
      <c r="C52" s="14"/>
      <c r="E52" s="14"/>
      <c r="F52" s="14"/>
    </row>
    <row r="53" spans="1:6" x14ac:dyDescent="0.3">
      <c r="A53" s="20"/>
      <c r="C53" s="14"/>
      <c r="E53" s="14"/>
      <c r="F53" s="14"/>
    </row>
    <row r="54" spans="1:6" x14ac:dyDescent="0.3">
      <c r="C54" s="14"/>
      <c r="E54" s="14"/>
      <c r="F54" s="14"/>
    </row>
    <row r="55" spans="1:6" x14ac:dyDescent="0.3">
      <c r="C55" s="14"/>
      <c r="D55" s="14"/>
    </row>
    <row r="56" spans="1:6" x14ac:dyDescent="0.3">
      <c r="A56" s="20"/>
      <c r="C56" s="14"/>
      <c r="D56" s="14"/>
    </row>
    <row r="57" spans="1:6" x14ac:dyDescent="0.3">
      <c r="A57" s="20"/>
      <c r="C57" s="14"/>
    </row>
    <row r="58" spans="1:6" x14ac:dyDescent="0.3">
      <c r="A58" s="20"/>
      <c r="C58" s="14"/>
    </row>
    <row r="59" spans="1:6" x14ac:dyDescent="0.3">
      <c r="C59" s="14"/>
    </row>
    <row r="60" spans="1:6" x14ac:dyDescent="0.3">
      <c r="A60" s="20"/>
      <c r="C60" s="14"/>
    </row>
    <row r="61" spans="1:6" x14ac:dyDescent="0.3">
      <c r="C61" s="14"/>
      <c r="D61" s="14"/>
    </row>
    <row r="62" spans="1:6" x14ac:dyDescent="0.3">
      <c r="C62" s="14"/>
      <c r="D62" s="14"/>
    </row>
    <row r="63" spans="1:6" x14ac:dyDescent="0.3">
      <c r="C63" s="14"/>
      <c r="D63" s="14"/>
    </row>
    <row r="64" spans="1:6" x14ac:dyDescent="0.3">
      <c r="A64" s="20"/>
      <c r="C64" s="14"/>
      <c r="D64" s="14"/>
    </row>
    <row r="65" spans="3:4" x14ac:dyDescent="0.3">
      <c r="C65" s="14"/>
      <c r="D65" s="14"/>
    </row>
  </sheetData>
  <mergeCells count="7">
    <mergeCell ref="Y1:AD1"/>
    <mergeCell ref="A34:F34"/>
    <mergeCell ref="A43:F43"/>
    <mergeCell ref="A1:F1"/>
    <mergeCell ref="A19:F19"/>
    <mergeCell ref="I1:N1"/>
    <mergeCell ref="Q1:V1"/>
  </mergeCells>
  <conditionalFormatting sqref="F27">
    <cfRule type="expression" dxfId="0" priority="1">
      <formula>$F$9&lt;$B$9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V192"/>
  <sheetViews>
    <sheetView topLeftCell="A7" zoomScaleNormal="100" workbookViewId="0">
      <selection activeCell="D12" sqref="D12"/>
    </sheetView>
  </sheetViews>
  <sheetFormatPr defaultRowHeight="14.4" x14ac:dyDescent="0.3"/>
  <cols>
    <col min="1" max="1" width="10.77734375" customWidth="1"/>
    <col min="3" max="3" width="9.88671875" bestFit="1" customWidth="1"/>
    <col min="4" max="4" width="10.109375" customWidth="1"/>
    <col min="6" max="6" width="12.88671875" customWidth="1"/>
    <col min="13" max="13" width="9.77734375" customWidth="1"/>
    <col min="14" max="14" width="11.44140625" bestFit="1" customWidth="1"/>
    <col min="15" max="15" width="12" bestFit="1" customWidth="1"/>
    <col min="16" max="16" width="10.21875" bestFit="1" customWidth="1"/>
    <col min="17" max="17" width="10.109375" bestFit="1" customWidth="1"/>
    <col min="18" max="19" width="10.44140625" bestFit="1" customWidth="1"/>
    <col min="20" max="20" width="9.88671875" bestFit="1" customWidth="1"/>
  </cols>
  <sheetData>
    <row r="1" spans="1:27" x14ac:dyDescent="0.3">
      <c r="A1" s="8">
        <v>29135</v>
      </c>
      <c r="C1" t="s">
        <v>8</v>
      </c>
      <c r="D1">
        <v>-113841</v>
      </c>
      <c r="O1" s="15"/>
      <c r="P1" s="15"/>
      <c r="Q1" s="102"/>
      <c r="X1" t="s">
        <v>27</v>
      </c>
      <c r="Y1" t="s">
        <v>837</v>
      </c>
    </row>
    <row r="2" spans="1:27" x14ac:dyDescent="0.3">
      <c r="A2" s="8">
        <v>29501</v>
      </c>
      <c r="D2" s="180"/>
      <c r="E2" s="4"/>
      <c r="F2" s="4">
        <f>SUM(D29)</f>
        <v>30447182.289999999</v>
      </c>
      <c r="G2" s="4"/>
      <c r="H2" s="4"/>
      <c r="I2" s="4"/>
      <c r="J2" s="1">
        <v>40360</v>
      </c>
      <c r="K2">
        <v>541</v>
      </c>
      <c r="O2" s="15"/>
      <c r="P2" s="15"/>
      <c r="Q2" s="102"/>
      <c r="W2" s="57" t="s">
        <v>227</v>
      </c>
      <c r="X2" s="57">
        <v>1</v>
      </c>
      <c r="AA2" s="1"/>
    </row>
    <row r="3" spans="1:27" x14ac:dyDescent="0.3">
      <c r="A3" s="8">
        <v>29866</v>
      </c>
      <c r="C3" t="s">
        <v>1094</v>
      </c>
      <c r="F3" s="181">
        <v>1040000</v>
      </c>
      <c r="G3" s="4"/>
      <c r="H3" s="4"/>
      <c r="I3" s="4"/>
      <c r="J3" s="1">
        <v>40391</v>
      </c>
      <c r="K3">
        <v>541</v>
      </c>
      <c r="M3">
        <v>100000</v>
      </c>
      <c r="N3" s="176" t="s">
        <v>442</v>
      </c>
      <c r="O3" s="15">
        <v>44520</v>
      </c>
      <c r="P3" s="15">
        <v>46346</v>
      </c>
      <c r="Q3" s="208">
        <v>0.1</v>
      </c>
      <c r="R3">
        <f t="shared" ref="R3:R6" si="0">(M3*Q3)/12</f>
        <v>833.33333333333337</v>
      </c>
      <c r="W3" s="58" t="s">
        <v>228</v>
      </c>
      <c r="X3" s="57">
        <v>2</v>
      </c>
      <c r="Y3" t="s">
        <v>952</v>
      </c>
      <c r="AA3" s="1"/>
    </row>
    <row r="4" spans="1:27" x14ac:dyDescent="0.3">
      <c r="A4" s="8">
        <v>30231</v>
      </c>
      <c r="B4" s="115"/>
      <c r="C4" s="115" t="s">
        <v>22</v>
      </c>
      <c r="D4" s="211"/>
      <c r="F4" s="181">
        <v>1070806</v>
      </c>
      <c r="G4" s="4"/>
      <c r="H4" s="4"/>
      <c r="I4" s="4"/>
      <c r="J4" s="1">
        <v>40422</v>
      </c>
      <c r="K4">
        <v>541</v>
      </c>
      <c r="M4">
        <v>100000</v>
      </c>
      <c r="N4" s="176" t="s">
        <v>443</v>
      </c>
      <c r="O4" s="15">
        <v>44517</v>
      </c>
      <c r="P4" s="15">
        <v>46343</v>
      </c>
      <c r="Q4" s="208">
        <v>0.1</v>
      </c>
      <c r="R4">
        <f t="shared" si="0"/>
        <v>833.33333333333337</v>
      </c>
      <c r="W4" s="58" t="s">
        <v>229</v>
      </c>
      <c r="X4" s="57">
        <v>3</v>
      </c>
      <c r="Y4" t="s">
        <v>264</v>
      </c>
      <c r="AA4" s="1"/>
    </row>
    <row r="5" spans="1:27" x14ac:dyDescent="0.3">
      <c r="A5" s="8">
        <v>30596</v>
      </c>
      <c r="B5" s="115"/>
      <c r="C5" s="115" t="s">
        <v>27</v>
      </c>
      <c r="D5" s="212">
        <v>2761925</v>
      </c>
      <c r="E5" s="4">
        <f>D5*0.071</f>
        <v>196096.67499999999</v>
      </c>
      <c r="F5" s="4"/>
      <c r="G5" s="4"/>
      <c r="H5" s="4"/>
      <c r="I5" s="4"/>
      <c r="J5" s="1">
        <v>40452</v>
      </c>
      <c r="K5">
        <v>541</v>
      </c>
      <c r="M5">
        <v>100000</v>
      </c>
      <c r="N5" s="176" t="s">
        <v>444</v>
      </c>
      <c r="O5" s="15">
        <v>44521</v>
      </c>
      <c r="P5" s="15">
        <v>46347</v>
      </c>
      <c r="Q5" s="208">
        <v>0.1</v>
      </c>
      <c r="R5">
        <f t="shared" si="0"/>
        <v>833.33333333333337</v>
      </c>
      <c r="W5" s="58" t="s">
        <v>230</v>
      </c>
      <c r="X5" s="57">
        <v>4</v>
      </c>
      <c r="Y5">
        <v>1</v>
      </c>
      <c r="AA5" s="1"/>
    </row>
    <row r="6" spans="1:27" x14ac:dyDescent="0.3">
      <c r="A6" s="8">
        <v>30962</v>
      </c>
      <c r="C6" s="115" t="s">
        <v>6</v>
      </c>
      <c r="D6" s="212">
        <v>3957500</v>
      </c>
      <c r="E6" s="4"/>
      <c r="F6" s="4"/>
      <c r="G6" s="4"/>
      <c r="H6" s="4"/>
      <c r="I6" s="4"/>
      <c r="J6" s="1">
        <v>40483</v>
      </c>
      <c r="K6">
        <v>541</v>
      </c>
      <c r="M6">
        <v>100000</v>
      </c>
      <c r="N6" s="176" t="s">
        <v>441</v>
      </c>
      <c r="O6" s="15">
        <v>44523</v>
      </c>
      <c r="P6" s="15">
        <v>46349</v>
      </c>
      <c r="Q6" s="208">
        <v>0.1</v>
      </c>
      <c r="R6">
        <f t="shared" si="0"/>
        <v>833.33333333333337</v>
      </c>
      <c r="W6" s="58" t="s">
        <v>231</v>
      </c>
      <c r="X6" s="57">
        <v>5</v>
      </c>
      <c r="Y6">
        <v>2</v>
      </c>
      <c r="AA6" s="1"/>
    </row>
    <row r="7" spans="1:27" x14ac:dyDescent="0.3">
      <c r="A7" s="8">
        <v>31327</v>
      </c>
      <c r="C7" s="115" t="s">
        <v>247</v>
      </c>
      <c r="D7" s="212">
        <v>552684</v>
      </c>
      <c r="E7" s="4"/>
      <c r="F7" s="4"/>
      <c r="G7" s="4"/>
      <c r="H7" s="4"/>
      <c r="I7" s="4"/>
      <c r="J7" s="1">
        <v>40513</v>
      </c>
      <c r="K7">
        <v>541</v>
      </c>
      <c r="M7" s="207">
        <v>60000</v>
      </c>
      <c r="N7" s="175" t="s">
        <v>507</v>
      </c>
      <c r="O7" s="15">
        <v>44664</v>
      </c>
      <c r="P7" s="15">
        <v>46489</v>
      </c>
      <c r="Q7" s="208">
        <v>0.1</v>
      </c>
      <c r="R7">
        <f>(M7*Q7)/12</f>
        <v>500</v>
      </c>
      <c r="W7" s="58" t="s">
        <v>232</v>
      </c>
      <c r="X7" s="57">
        <v>6</v>
      </c>
      <c r="Y7">
        <v>3</v>
      </c>
      <c r="AA7" s="1"/>
    </row>
    <row r="8" spans="1:27" x14ac:dyDescent="0.3">
      <c r="A8" s="8">
        <v>31692</v>
      </c>
      <c r="C8" s="115" t="s">
        <v>7</v>
      </c>
      <c r="D8" s="180">
        <v>1030000</v>
      </c>
      <c r="E8" s="4"/>
      <c r="F8" s="4"/>
      <c r="G8" s="4"/>
      <c r="H8" s="4"/>
      <c r="I8" s="4"/>
      <c r="J8" s="1">
        <v>40544</v>
      </c>
      <c r="K8">
        <v>541</v>
      </c>
      <c r="M8" s="207">
        <v>60000</v>
      </c>
      <c r="N8" s="175" t="s">
        <v>504</v>
      </c>
      <c r="O8" s="15">
        <v>44664</v>
      </c>
      <c r="P8" s="15">
        <v>46489</v>
      </c>
      <c r="Q8" s="208">
        <v>0.1</v>
      </c>
      <c r="R8">
        <f>(M8*Q8)/12</f>
        <v>500</v>
      </c>
      <c r="T8" s="4"/>
      <c r="W8" s="58" t="s">
        <v>233</v>
      </c>
      <c r="X8" s="57">
        <v>7</v>
      </c>
      <c r="Y8">
        <v>4</v>
      </c>
      <c r="AA8" s="1"/>
    </row>
    <row r="9" spans="1:27" x14ac:dyDescent="0.3">
      <c r="A9" s="8">
        <v>32057</v>
      </c>
      <c r="C9" s="179" t="s">
        <v>1067</v>
      </c>
      <c r="D9" s="220">
        <v>104503</v>
      </c>
      <c r="E9" s="4"/>
      <c r="F9" s="4"/>
      <c r="G9" s="4"/>
      <c r="H9" s="4"/>
      <c r="I9" s="4"/>
      <c r="J9" s="1">
        <v>40575</v>
      </c>
      <c r="K9">
        <v>541</v>
      </c>
      <c r="M9" s="207">
        <v>60000</v>
      </c>
      <c r="N9" s="175" t="s">
        <v>503</v>
      </c>
      <c r="O9" s="15">
        <v>44664</v>
      </c>
      <c r="P9" s="15">
        <v>46489</v>
      </c>
      <c r="Q9" s="208">
        <v>0.1</v>
      </c>
      <c r="R9">
        <f t="shared" ref="R9:R16" si="1">(M9*Q9)/12</f>
        <v>500</v>
      </c>
      <c r="T9" s="4"/>
      <c r="W9" s="58" t="s">
        <v>234</v>
      </c>
      <c r="X9" s="57">
        <v>8</v>
      </c>
      <c r="Y9">
        <v>5</v>
      </c>
      <c r="AA9" s="1"/>
    </row>
    <row r="10" spans="1:27" x14ac:dyDescent="0.3">
      <c r="A10" s="8">
        <v>32423</v>
      </c>
      <c r="B10" s="4"/>
      <c r="C10" s="115" t="s">
        <v>224</v>
      </c>
      <c r="D10" s="220">
        <v>17881536</v>
      </c>
      <c r="E10" s="4"/>
      <c r="F10" s="4"/>
      <c r="G10" s="4"/>
      <c r="H10" s="4"/>
      <c r="I10" s="4"/>
      <c r="J10" s="1">
        <v>40603</v>
      </c>
      <c r="K10">
        <v>541</v>
      </c>
      <c r="M10" s="207">
        <v>30000</v>
      </c>
      <c r="N10" s="175" t="s">
        <v>502</v>
      </c>
      <c r="O10" s="15">
        <v>44664</v>
      </c>
      <c r="P10" s="15">
        <v>46489</v>
      </c>
      <c r="Q10" s="208">
        <v>0.1</v>
      </c>
      <c r="R10">
        <f t="shared" si="1"/>
        <v>250</v>
      </c>
      <c r="T10" s="4"/>
      <c r="W10" s="58" t="s">
        <v>235</v>
      </c>
      <c r="X10" s="57">
        <v>9</v>
      </c>
      <c r="Y10">
        <v>6</v>
      </c>
      <c r="AA10" s="1"/>
    </row>
    <row r="11" spans="1:27" x14ac:dyDescent="0.3">
      <c r="A11" s="8">
        <v>32788</v>
      </c>
      <c r="C11" s="115" t="s">
        <v>223</v>
      </c>
      <c r="D11" s="220">
        <v>927683</v>
      </c>
      <c r="E11" s="4"/>
      <c r="F11" s="4"/>
      <c r="G11" s="4"/>
      <c r="H11" s="4"/>
      <c r="I11" s="4"/>
      <c r="J11" s="1">
        <v>40634</v>
      </c>
      <c r="K11">
        <v>541</v>
      </c>
      <c r="M11" s="207">
        <v>60000</v>
      </c>
      <c r="N11" s="175" t="s">
        <v>522</v>
      </c>
      <c r="O11" s="15">
        <v>44672</v>
      </c>
      <c r="P11" s="15">
        <v>46498</v>
      </c>
      <c r="Q11" s="208">
        <v>0.1</v>
      </c>
      <c r="R11">
        <f t="shared" si="1"/>
        <v>500</v>
      </c>
      <c r="T11" s="4"/>
      <c r="W11" s="58" t="s">
        <v>236</v>
      </c>
      <c r="X11" s="57">
        <v>10</v>
      </c>
      <c r="Y11">
        <v>7</v>
      </c>
      <c r="AA11" s="1"/>
    </row>
    <row r="12" spans="1:27" x14ac:dyDescent="0.3">
      <c r="A12" s="8">
        <v>33153</v>
      </c>
      <c r="C12" s="115" t="s">
        <v>992</v>
      </c>
      <c r="D12" s="221">
        <v>105298</v>
      </c>
      <c r="E12" s="30"/>
      <c r="F12" s="4"/>
      <c r="G12" s="4"/>
      <c r="H12" s="4"/>
      <c r="I12" s="4"/>
      <c r="J12" s="1">
        <v>40664</v>
      </c>
      <c r="K12">
        <v>541</v>
      </c>
      <c r="M12" s="207">
        <v>60000</v>
      </c>
      <c r="N12" s="175" t="s">
        <v>523</v>
      </c>
      <c r="O12" s="15">
        <v>44672</v>
      </c>
      <c r="P12" s="15">
        <v>46498</v>
      </c>
      <c r="Q12" s="208">
        <v>0.1</v>
      </c>
      <c r="R12">
        <f t="shared" si="1"/>
        <v>500</v>
      </c>
      <c r="T12" s="4"/>
      <c r="W12" s="58" t="s">
        <v>237</v>
      </c>
      <c r="X12" s="57">
        <v>11</v>
      </c>
      <c r="Y12">
        <v>8</v>
      </c>
      <c r="AA12" s="1"/>
    </row>
    <row r="13" spans="1:27" x14ac:dyDescent="0.3">
      <c r="A13" s="8">
        <v>33518</v>
      </c>
      <c r="C13" s="115" t="s">
        <v>11</v>
      </c>
      <c r="D13" s="221">
        <v>154340</v>
      </c>
      <c r="G13" s="4"/>
      <c r="H13" s="4"/>
      <c r="I13" s="4"/>
      <c r="J13" s="1">
        <v>40695</v>
      </c>
      <c r="K13">
        <v>541</v>
      </c>
      <c r="M13" s="207">
        <v>60000</v>
      </c>
      <c r="N13" s="175" t="s">
        <v>524</v>
      </c>
      <c r="O13" s="15">
        <v>44672</v>
      </c>
      <c r="P13" s="15">
        <v>46498</v>
      </c>
      <c r="Q13" s="208">
        <v>0.1</v>
      </c>
      <c r="R13">
        <f t="shared" si="1"/>
        <v>500</v>
      </c>
      <c r="T13" s="4"/>
      <c r="W13" s="58" t="s">
        <v>252</v>
      </c>
      <c r="X13" s="57">
        <v>12</v>
      </c>
      <c r="Y13">
        <v>9</v>
      </c>
      <c r="AA13" s="1"/>
    </row>
    <row r="14" spans="1:27" x14ac:dyDescent="0.3">
      <c r="A14" s="8">
        <v>33884</v>
      </c>
      <c r="C14" s="115" t="s">
        <v>288</v>
      </c>
      <c r="D14" s="180">
        <v>24000</v>
      </c>
      <c r="G14" s="4"/>
      <c r="H14" s="4"/>
      <c r="I14" s="4"/>
      <c r="J14" s="1">
        <v>40725</v>
      </c>
      <c r="K14">
        <v>541</v>
      </c>
      <c r="M14">
        <v>60000</v>
      </c>
      <c r="N14" s="175" t="s">
        <v>698</v>
      </c>
      <c r="O14" s="15">
        <v>44717</v>
      </c>
      <c r="P14" s="15">
        <v>46572</v>
      </c>
      <c r="Q14" s="208">
        <v>0.1</v>
      </c>
      <c r="R14">
        <f t="shared" si="1"/>
        <v>500</v>
      </c>
      <c r="T14" s="4"/>
      <c r="W14" s="58" t="s">
        <v>253</v>
      </c>
      <c r="X14" s="57">
        <v>13</v>
      </c>
      <c r="Y14">
        <v>10</v>
      </c>
      <c r="AA14" s="1"/>
    </row>
    <row r="15" spans="1:27" x14ac:dyDescent="0.3">
      <c r="A15" s="8">
        <v>34249</v>
      </c>
      <c r="C15" s="115" t="s">
        <v>10</v>
      </c>
      <c r="D15" s="180">
        <v>32470</v>
      </c>
      <c r="F15" s="4"/>
      <c r="G15" s="4"/>
      <c r="H15" s="4"/>
      <c r="I15" s="4"/>
      <c r="J15" s="1">
        <v>40756</v>
      </c>
      <c r="K15">
        <v>541</v>
      </c>
      <c r="M15">
        <v>30000</v>
      </c>
      <c r="N15" s="175" t="s">
        <v>702</v>
      </c>
      <c r="O15" s="15">
        <v>44766</v>
      </c>
      <c r="P15" s="15">
        <v>46591</v>
      </c>
      <c r="Q15" s="208">
        <v>0.1</v>
      </c>
      <c r="R15">
        <f t="shared" si="1"/>
        <v>250</v>
      </c>
      <c r="T15" s="4"/>
      <c r="W15" s="58" t="s">
        <v>254</v>
      </c>
      <c r="X15" s="57">
        <v>14</v>
      </c>
      <c r="Y15">
        <v>11</v>
      </c>
      <c r="AA15" s="1"/>
    </row>
    <row r="16" spans="1:27" x14ac:dyDescent="0.3">
      <c r="A16" s="8">
        <v>34614</v>
      </c>
      <c r="C16" s="115" t="s">
        <v>9</v>
      </c>
      <c r="D16" s="180">
        <v>2500000</v>
      </c>
      <c r="E16" s="4"/>
      <c r="F16" s="4"/>
      <c r="G16" s="4"/>
      <c r="H16" s="4"/>
      <c r="I16" s="4"/>
      <c r="J16" s="1">
        <v>40787</v>
      </c>
      <c r="K16">
        <v>541</v>
      </c>
      <c r="M16">
        <v>60000</v>
      </c>
      <c r="N16" s="175" t="s">
        <v>737</v>
      </c>
      <c r="O16" s="15">
        <v>44785</v>
      </c>
      <c r="P16" s="15">
        <v>46611</v>
      </c>
      <c r="Q16" s="208">
        <v>0.1</v>
      </c>
      <c r="R16">
        <f t="shared" si="1"/>
        <v>500</v>
      </c>
      <c r="T16" s="4"/>
      <c r="W16" s="1" t="s">
        <v>255</v>
      </c>
      <c r="X16">
        <v>15</v>
      </c>
      <c r="Y16">
        <v>12</v>
      </c>
      <c r="AA16" s="1"/>
    </row>
    <row r="17" spans="1:48" x14ac:dyDescent="0.3">
      <c r="A17" s="8">
        <v>34979</v>
      </c>
      <c r="C17" s="115" t="s">
        <v>1050</v>
      </c>
      <c r="D17" s="180">
        <v>-1733.71</v>
      </c>
      <c r="F17" s="4"/>
      <c r="G17" s="4"/>
      <c r="H17" s="4"/>
      <c r="I17" s="4"/>
      <c r="J17" s="1">
        <v>40817</v>
      </c>
      <c r="K17">
        <v>541</v>
      </c>
      <c r="M17">
        <v>90000</v>
      </c>
      <c r="N17" t="s">
        <v>939</v>
      </c>
      <c r="O17" s="15">
        <v>45330</v>
      </c>
      <c r="P17" s="15">
        <v>47156</v>
      </c>
      <c r="Q17" s="208">
        <f>10/100</f>
        <v>0.1</v>
      </c>
      <c r="R17">
        <f>(M17*Q17)/12</f>
        <v>750</v>
      </c>
      <c r="S17" s="50"/>
      <c r="T17" s="4"/>
      <c r="W17" s="1" t="s">
        <v>256</v>
      </c>
      <c r="X17">
        <v>16</v>
      </c>
      <c r="Y17">
        <v>13</v>
      </c>
      <c r="AA17" s="1"/>
    </row>
    <row r="18" spans="1:48" x14ac:dyDescent="0.3">
      <c r="A18" s="8">
        <v>35345</v>
      </c>
      <c r="C18" s="179" t="s">
        <v>381</v>
      </c>
      <c r="D18" s="180">
        <v>-340000</v>
      </c>
      <c r="E18" s="4"/>
      <c r="F18" s="4"/>
      <c r="G18" s="4"/>
      <c r="H18" s="4"/>
      <c r="I18" s="4"/>
      <c r="J18" s="1">
        <v>40848</v>
      </c>
      <c r="K18">
        <v>541</v>
      </c>
      <c r="Q18" s="15"/>
      <c r="S18" s="50"/>
      <c r="T18" s="4"/>
      <c r="W18" s="1" t="s">
        <v>257</v>
      </c>
      <c r="X18">
        <v>17</v>
      </c>
      <c r="Y18">
        <v>14</v>
      </c>
      <c r="AA18" s="1"/>
    </row>
    <row r="19" spans="1:48" x14ac:dyDescent="0.3">
      <c r="A19" s="8">
        <v>35710</v>
      </c>
      <c r="C19" s="179" t="s">
        <v>1142</v>
      </c>
      <c r="D19" s="180">
        <v>550000</v>
      </c>
      <c r="E19" s="215"/>
      <c r="F19" s="4"/>
      <c r="G19" s="4"/>
      <c r="H19" s="4"/>
      <c r="I19" s="4"/>
      <c r="J19" s="1">
        <v>40878</v>
      </c>
      <c r="K19">
        <v>541</v>
      </c>
      <c r="M19">
        <f>SUM(M1:M17)</f>
        <v>1030000</v>
      </c>
      <c r="Q19" s="15"/>
      <c r="R19">
        <f>SUM(R1:R17)</f>
        <v>8583.3333333333339</v>
      </c>
      <c r="S19" s="50"/>
      <c r="T19" s="4"/>
      <c r="W19" s="1" t="s">
        <v>258</v>
      </c>
      <c r="X19">
        <v>18</v>
      </c>
      <c r="Y19">
        <v>15</v>
      </c>
      <c r="AA19" s="1"/>
    </row>
    <row r="20" spans="1:48" x14ac:dyDescent="0.3">
      <c r="A20" s="8">
        <v>36075</v>
      </c>
      <c r="C20" s="179" t="s">
        <v>1166</v>
      </c>
      <c r="D20" s="217">
        <v>0</v>
      </c>
      <c r="E20" s="4"/>
      <c r="F20" s="4"/>
      <c r="G20" s="4"/>
      <c r="H20" s="4"/>
      <c r="I20" s="4"/>
      <c r="J20" s="1">
        <v>40909</v>
      </c>
      <c r="K20">
        <v>541</v>
      </c>
      <c r="Q20" s="15"/>
      <c r="S20" s="50"/>
      <c r="T20" s="4"/>
      <c r="W20" s="1" t="s">
        <v>259</v>
      </c>
      <c r="X20">
        <v>19</v>
      </c>
      <c r="Y20">
        <v>16</v>
      </c>
      <c r="AA20" s="1"/>
    </row>
    <row r="21" spans="1:48" x14ac:dyDescent="0.3">
      <c r="A21" s="8">
        <v>36440</v>
      </c>
      <c r="C21" s="179" t="s">
        <v>1191</v>
      </c>
      <c r="D21" s="217">
        <v>-51023</v>
      </c>
      <c r="E21" s="4"/>
      <c r="F21" s="4"/>
      <c r="G21" s="4"/>
      <c r="H21" s="4"/>
      <c r="I21" s="4"/>
      <c r="J21" s="1">
        <v>40940</v>
      </c>
      <c r="K21">
        <v>541</v>
      </c>
      <c r="T21" s="4"/>
      <c r="W21" s="1" t="s">
        <v>260</v>
      </c>
      <c r="AA21" s="1"/>
    </row>
    <row r="22" spans="1:48" x14ac:dyDescent="0.3">
      <c r="A22" s="8">
        <v>36806</v>
      </c>
      <c r="C22" s="179"/>
      <c r="D22" s="217">
        <v>48000</v>
      </c>
      <c r="G22" s="4"/>
      <c r="H22" s="4"/>
      <c r="I22" s="4"/>
      <c r="J22" s="1">
        <v>40969</v>
      </c>
      <c r="K22">
        <v>541</v>
      </c>
      <c r="O22" s="15">
        <v>45702</v>
      </c>
      <c r="T22" s="4"/>
      <c r="W22" s="1" t="s">
        <v>261</v>
      </c>
      <c r="AA22" s="1"/>
    </row>
    <row r="23" spans="1:48" x14ac:dyDescent="0.3">
      <c r="A23" s="8">
        <v>37171</v>
      </c>
      <c r="C23" s="179" t="s">
        <v>323</v>
      </c>
      <c r="D23" s="217">
        <v>210000</v>
      </c>
      <c r="F23" s="206"/>
      <c r="J23" s="1">
        <v>41000</v>
      </c>
      <c r="K23" s="122">
        <v>541</v>
      </c>
      <c r="O23">
        <v>444</v>
      </c>
      <c r="T23" s="4"/>
      <c r="W23" s="1" t="s">
        <v>262</v>
      </c>
      <c r="AA23" s="1"/>
    </row>
    <row r="24" spans="1:48" x14ac:dyDescent="0.3">
      <c r="A24" s="8">
        <v>37536</v>
      </c>
      <c r="F24" s="206"/>
      <c r="J24" s="1">
        <v>41030</v>
      </c>
      <c r="K24" s="122">
        <v>541</v>
      </c>
      <c r="O24" s="15">
        <f>SUM(O22:O23)</f>
        <v>46146</v>
      </c>
      <c r="T24" s="4"/>
      <c r="W24" s="1" t="s">
        <v>263</v>
      </c>
      <c r="AA24" s="1"/>
    </row>
    <row r="25" spans="1:48" x14ac:dyDescent="0.3">
      <c r="A25" s="8">
        <v>37901</v>
      </c>
      <c r="C25" s="179"/>
      <c r="D25" s="217"/>
      <c r="J25" s="1">
        <v>41061</v>
      </c>
      <c r="K25" s="122">
        <v>541</v>
      </c>
      <c r="T25" s="4"/>
      <c r="AA25" s="1"/>
    </row>
    <row r="26" spans="1:48" x14ac:dyDescent="0.3">
      <c r="A26" s="8">
        <v>38267</v>
      </c>
      <c r="C26" s="179"/>
      <c r="D26" s="217"/>
      <c r="F26" s="209"/>
      <c r="J26" s="1">
        <v>41091</v>
      </c>
      <c r="K26" s="122">
        <v>541</v>
      </c>
      <c r="P26" s="76"/>
      <c r="Q26" s="76"/>
      <c r="T26" s="4"/>
      <c r="W26" s="1"/>
      <c r="AA26" s="1"/>
    </row>
    <row r="27" spans="1:48" x14ac:dyDescent="0.3">
      <c r="A27" s="8">
        <v>38632</v>
      </c>
      <c r="J27" s="1">
        <v>41122</v>
      </c>
      <c r="K27" s="122">
        <v>541</v>
      </c>
      <c r="T27" s="4"/>
      <c r="W27" s="1"/>
      <c r="AA27" s="1"/>
    </row>
    <row r="28" spans="1:48" x14ac:dyDescent="0.3">
      <c r="A28" s="8">
        <v>38997</v>
      </c>
      <c r="J28" s="1">
        <v>41153</v>
      </c>
      <c r="K28" s="122">
        <v>541</v>
      </c>
      <c r="P28" s="76"/>
      <c r="W28" s="1"/>
      <c r="AA28" s="1"/>
    </row>
    <row r="29" spans="1:48" x14ac:dyDescent="0.3">
      <c r="A29" s="8">
        <v>39362</v>
      </c>
      <c r="D29" s="204">
        <f>SUM(D2:D28)</f>
        <v>30447182.289999999</v>
      </c>
      <c r="F29" s="4">
        <f>SUM(F2:F26)</f>
        <v>32557988.289999999</v>
      </c>
      <c r="H29" s="116"/>
      <c r="J29" s="1">
        <v>41183</v>
      </c>
      <c r="K29" s="122">
        <v>541</v>
      </c>
      <c r="W29" s="1"/>
      <c r="AA29" s="1"/>
    </row>
    <row r="30" spans="1:48" x14ac:dyDescent="0.3">
      <c r="A30" s="8">
        <v>39728</v>
      </c>
      <c r="F30" s="4">
        <v>2915380</v>
      </c>
      <c r="G30" s="4"/>
      <c r="J30" s="1">
        <v>41214</v>
      </c>
      <c r="K30" s="122">
        <v>541</v>
      </c>
      <c r="W30" s="1"/>
      <c r="AA30" s="1"/>
    </row>
    <row r="31" spans="1:48" x14ac:dyDescent="0.3">
      <c r="A31" s="8">
        <v>40093</v>
      </c>
      <c r="D31" s="4"/>
      <c r="F31">
        <f>SUM(F29:F30)</f>
        <v>35473368.289999999</v>
      </c>
      <c r="J31" s="1">
        <v>41244</v>
      </c>
      <c r="K31" s="122">
        <v>541</v>
      </c>
      <c r="W31" s="1"/>
      <c r="AA31" s="1"/>
    </row>
    <row r="32" spans="1:48" x14ac:dyDescent="0.3">
      <c r="A32" s="8">
        <v>40458</v>
      </c>
      <c r="J32" s="1">
        <v>41275</v>
      </c>
      <c r="K32" s="122">
        <v>541</v>
      </c>
      <c r="M32" t="s">
        <v>1144</v>
      </c>
      <c r="Q32" s="15"/>
      <c r="S32" s="1">
        <v>46113</v>
      </c>
      <c r="T32" s="1">
        <v>46143</v>
      </c>
      <c r="U32" s="1">
        <v>46174</v>
      </c>
      <c r="V32" s="1">
        <v>46204</v>
      </c>
      <c r="W32" s="1">
        <v>46235</v>
      </c>
      <c r="X32" s="1">
        <v>46266</v>
      </c>
      <c r="Y32" s="1">
        <v>46296</v>
      </c>
      <c r="Z32" s="1">
        <v>46327</v>
      </c>
      <c r="AA32" s="1">
        <v>46357</v>
      </c>
      <c r="AB32" s="1">
        <v>46388</v>
      </c>
      <c r="AC32" s="1">
        <v>46419</v>
      </c>
      <c r="AD32" s="1">
        <v>46447</v>
      </c>
      <c r="AE32" s="1">
        <v>46478</v>
      </c>
      <c r="AF32" s="1">
        <v>46508</v>
      </c>
      <c r="AG32" s="1">
        <v>46539</v>
      </c>
      <c r="AH32" s="1">
        <v>46569</v>
      </c>
      <c r="AI32" s="1">
        <v>46600</v>
      </c>
      <c r="AJ32" s="1">
        <v>46631</v>
      </c>
      <c r="AK32" s="1">
        <v>46661</v>
      </c>
      <c r="AL32" s="1">
        <v>46692</v>
      </c>
      <c r="AM32" s="1">
        <v>46722</v>
      </c>
      <c r="AN32" s="1">
        <v>46753</v>
      </c>
      <c r="AO32" s="1">
        <v>46784</v>
      </c>
      <c r="AP32" s="1">
        <v>46813</v>
      </c>
      <c r="AQ32" s="1">
        <v>46844</v>
      </c>
      <c r="AR32" s="1">
        <v>46874</v>
      </c>
      <c r="AS32" s="1">
        <v>46905</v>
      </c>
      <c r="AT32" s="1">
        <v>46935</v>
      </c>
      <c r="AU32" s="1">
        <v>46966</v>
      </c>
      <c r="AV32" s="1">
        <v>46997</v>
      </c>
    </row>
    <row r="33" spans="1:43" x14ac:dyDescent="0.3">
      <c r="A33" s="8">
        <v>40823</v>
      </c>
      <c r="J33" s="1">
        <v>41306</v>
      </c>
      <c r="K33" s="122">
        <v>541</v>
      </c>
      <c r="M33">
        <v>200000</v>
      </c>
      <c r="N33">
        <v>120374</v>
      </c>
      <c r="O33" s="15">
        <v>46053</v>
      </c>
      <c r="P33" s="15">
        <v>46783</v>
      </c>
      <c r="Q33">
        <v>0.08</v>
      </c>
      <c r="R33">
        <f>(M33*Q33)/12</f>
        <v>1333.3333333333333</v>
      </c>
      <c r="S33" s="223">
        <v>1333</v>
      </c>
      <c r="T33" s="223">
        <v>1333</v>
      </c>
      <c r="U33" s="223">
        <v>1333</v>
      </c>
      <c r="V33">
        <v>1333</v>
      </c>
      <c r="W33">
        <v>1333</v>
      </c>
      <c r="X33">
        <v>1333</v>
      </c>
      <c r="Y33" s="166">
        <v>1333</v>
      </c>
      <c r="Z33" s="166">
        <v>1333</v>
      </c>
      <c r="AA33" s="166">
        <v>1333</v>
      </c>
      <c r="AB33">
        <v>1333</v>
      </c>
      <c r="AC33">
        <v>1333</v>
      </c>
      <c r="AD33">
        <v>1333</v>
      </c>
      <c r="AE33" s="166">
        <v>1333</v>
      </c>
      <c r="AF33" s="166">
        <v>1333</v>
      </c>
      <c r="AG33" s="166">
        <v>1333</v>
      </c>
      <c r="AH33">
        <v>1333</v>
      </c>
      <c r="AI33">
        <v>1333</v>
      </c>
      <c r="AJ33">
        <v>1333</v>
      </c>
      <c r="AK33" s="166">
        <v>1333</v>
      </c>
      <c r="AL33" s="166">
        <v>1333</v>
      </c>
      <c r="AM33" s="166">
        <v>1333</v>
      </c>
      <c r="AN33">
        <v>1333</v>
      </c>
    </row>
    <row r="34" spans="1:43" x14ac:dyDescent="0.3">
      <c r="A34" s="8">
        <v>41189</v>
      </c>
      <c r="B34" s="56"/>
      <c r="C34" s="56"/>
      <c r="J34" s="1">
        <v>41334</v>
      </c>
      <c r="K34" s="122">
        <v>541</v>
      </c>
      <c r="M34">
        <v>100000</v>
      </c>
      <c r="N34">
        <v>120381</v>
      </c>
      <c r="O34" s="15">
        <v>46055</v>
      </c>
      <c r="P34" s="15">
        <v>46783</v>
      </c>
      <c r="Q34">
        <v>0.08</v>
      </c>
      <c r="R34">
        <f t="shared" ref="R34:R35" si="2">(M34*Q34)/12</f>
        <v>666.66666666666663</v>
      </c>
      <c r="S34" s="223">
        <v>667</v>
      </c>
      <c r="T34" s="223">
        <v>667</v>
      </c>
      <c r="U34" s="223">
        <v>667</v>
      </c>
      <c r="V34">
        <v>667</v>
      </c>
      <c r="W34">
        <v>667</v>
      </c>
      <c r="X34">
        <v>667</v>
      </c>
      <c r="Y34" s="166">
        <v>667</v>
      </c>
      <c r="Z34" s="166">
        <v>667</v>
      </c>
      <c r="AA34" s="166">
        <v>667</v>
      </c>
      <c r="AB34">
        <v>667</v>
      </c>
      <c r="AC34">
        <v>667</v>
      </c>
      <c r="AD34">
        <v>667</v>
      </c>
      <c r="AE34" s="166">
        <v>667</v>
      </c>
      <c r="AF34" s="166">
        <v>667</v>
      </c>
      <c r="AG34" s="166">
        <v>667</v>
      </c>
      <c r="AH34">
        <v>667</v>
      </c>
      <c r="AI34">
        <v>667</v>
      </c>
      <c r="AJ34">
        <v>667</v>
      </c>
      <c r="AK34" s="166">
        <v>667</v>
      </c>
      <c r="AL34" s="166">
        <v>667</v>
      </c>
      <c r="AM34" s="166">
        <v>667</v>
      </c>
      <c r="AN34">
        <v>667</v>
      </c>
      <c r="AO34">
        <v>667</v>
      </c>
    </row>
    <row r="35" spans="1:43" x14ac:dyDescent="0.3">
      <c r="A35" s="8">
        <v>41554</v>
      </c>
      <c r="B35" s="56"/>
      <c r="C35" s="56"/>
      <c r="E35" s="50"/>
      <c r="J35" s="1">
        <v>41365</v>
      </c>
      <c r="K35" s="122">
        <v>541</v>
      </c>
      <c r="M35">
        <v>50000</v>
      </c>
      <c r="N35">
        <v>120391</v>
      </c>
      <c r="O35" s="15">
        <v>46065</v>
      </c>
      <c r="P35" s="15">
        <v>46795</v>
      </c>
      <c r="Q35">
        <v>0.08</v>
      </c>
      <c r="R35">
        <f t="shared" si="2"/>
        <v>333.33333333333331</v>
      </c>
      <c r="S35" s="224">
        <v>333</v>
      </c>
      <c r="T35" s="224">
        <v>333</v>
      </c>
      <c r="U35" s="224">
        <v>333</v>
      </c>
      <c r="V35" s="13">
        <v>333</v>
      </c>
      <c r="W35" s="13">
        <v>333</v>
      </c>
      <c r="X35" s="13">
        <v>333</v>
      </c>
      <c r="Y35" s="225">
        <v>333</v>
      </c>
      <c r="Z35" s="225">
        <v>333</v>
      </c>
      <c r="AA35" s="225">
        <v>333</v>
      </c>
      <c r="AB35" s="13">
        <v>333</v>
      </c>
      <c r="AC35" s="13">
        <v>333</v>
      </c>
      <c r="AD35" s="13">
        <v>333</v>
      </c>
      <c r="AE35" s="225">
        <v>333</v>
      </c>
      <c r="AF35" s="225">
        <v>333</v>
      </c>
      <c r="AG35" s="225">
        <v>333</v>
      </c>
      <c r="AH35" s="13">
        <v>333</v>
      </c>
      <c r="AI35" s="13">
        <v>333</v>
      </c>
      <c r="AJ35" s="13">
        <v>333</v>
      </c>
      <c r="AK35" s="225">
        <v>333</v>
      </c>
      <c r="AL35" s="225">
        <v>333</v>
      </c>
      <c r="AM35" s="225">
        <v>333</v>
      </c>
      <c r="AN35" s="13">
        <v>333</v>
      </c>
      <c r="AO35" s="13">
        <v>333</v>
      </c>
    </row>
    <row r="36" spans="1:43" x14ac:dyDescent="0.3">
      <c r="A36" s="8">
        <v>41919</v>
      </c>
      <c r="B36" s="56"/>
      <c r="C36" s="56"/>
      <c r="J36" s="1">
        <v>41395</v>
      </c>
      <c r="K36" s="122">
        <v>541</v>
      </c>
      <c r="M36">
        <v>50000</v>
      </c>
      <c r="N36">
        <v>120431</v>
      </c>
      <c r="O36" s="15">
        <v>46093</v>
      </c>
      <c r="P36" s="15">
        <v>46824</v>
      </c>
      <c r="Q36" s="214">
        <v>5.5555555555555558E-3</v>
      </c>
      <c r="R36">
        <v>333.33330000000001</v>
      </c>
      <c r="S36" s="223">
        <v>333</v>
      </c>
      <c r="T36" s="223">
        <v>333</v>
      </c>
      <c r="U36" s="223">
        <v>333</v>
      </c>
      <c r="V36">
        <v>333</v>
      </c>
      <c r="W36">
        <v>333</v>
      </c>
      <c r="X36">
        <v>333</v>
      </c>
      <c r="Y36" s="166">
        <v>333</v>
      </c>
      <c r="Z36" s="166">
        <v>333</v>
      </c>
      <c r="AA36" s="166">
        <v>333</v>
      </c>
      <c r="AB36">
        <v>333</v>
      </c>
      <c r="AC36">
        <v>333</v>
      </c>
      <c r="AD36">
        <v>333</v>
      </c>
      <c r="AE36" s="166">
        <v>333</v>
      </c>
      <c r="AF36" s="166">
        <v>333</v>
      </c>
      <c r="AG36" s="166">
        <v>333</v>
      </c>
      <c r="AH36">
        <v>333</v>
      </c>
      <c r="AI36">
        <v>333</v>
      </c>
      <c r="AJ36">
        <v>333</v>
      </c>
      <c r="AK36" s="166">
        <v>333</v>
      </c>
      <c r="AL36" s="166">
        <v>333</v>
      </c>
      <c r="AM36" s="166">
        <v>333</v>
      </c>
      <c r="AN36">
        <v>333</v>
      </c>
      <c r="AO36">
        <v>333</v>
      </c>
      <c r="AP36">
        <v>333</v>
      </c>
    </row>
    <row r="37" spans="1:43" x14ac:dyDescent="0.3">
      <c r="A37" s="8">
        <v>42284</v>
      </c>
      <c r="B37" s="56"/>
      <c r="J37" s="1">
        <v>41426</v>
      </c>
      <c r="K37" s="122">
        <v>541</v>
      </c>
      <c r="M37" s="6">
        <v>50000</v>
      </c>
      <c r="N37">
        <v>120475</v>
      </c>
      <c r="O37" s="15">
        <v>46125</v>
      </c>
      <c r="P37" s="15">
        <v>46856</v>
      </c>
      <c r="Q37" s="214">
        <v>5.5555555555555558E-3</v>
      </c>
      <c r="R37">
        <v>333.33330000000001</v>
      </c>
      <c r="T37" s="109">
        <v>333</v>
      </c>
      <c r="U37" s="109">
        <v>333</v>
      </c>
      <c r="V37" s="109">
        <v>333</v>
      </c>
      <c r="W37">
        <v>333</v>
      </c>
      <c r="X37">
        <v>333</v>
      </c>
      <c r="Y37">
        <v>333</v>
      </c>
      <c r="Z37" s="109">
        <v>333</v>
      </c>
      <c r="AA37" s="109">
        <v>333</v>
      </c>
      <c r="AB37" s="109">
        <v>333</v>
      </c>
      <c r="AC37">
        <v>333</v>
      </c>
      <c r="AD37">
        <v>333</v>
      </c>
      <c r="AE37">
        <v>333</v>
      </c>
      <c r="AF37" s="109">
        <v>333</v>
      </c>
      <c r="AG37" s="109">
        <v>333</v>
      </c>
      <c r="AH37" s="109">
        <v>333</v>
      </c>
      <c r="AI37">
        <v>333</v>
      </c>
      <c r="AJ37">
        <v>333</v>
      </c>
      <c r="AK37">
        <v>333</v>
      </c>
      <c r="AL37" s="109">
        <v>333</v>
      </c>
      <c r="AM37" s="109">
        <v>333</v>
      </c>
      <c r="AN37" s="109">
        <v>333</v>
      </c>
      <c r="AO37" s="109">
        <v>333</v>
      </c>
      <c r="AP37">
        <v>333</v>
      </c>
      <c r="AQ37">
        <v>333</v>
      </c>
    </row>
    <row r="38" spans="1:43" x14ac:dyDescent="0.3">
      <c r="A38" s="8">
        <v>42650</v>
      </c>
      <c r="J38" s="1">
        <v>41456</v>
      </c>
      <c r="K38" s="122">
        <v>541</v>
      </c>
      <c r="M38" s="6">
        <v>50000</v>
      </c>
      <c r="N38">
        <v>120492</v>
      </c>
      <c r="O38" s="15">
        <v>46133</v>
      </c>
      <c r="P38" s="15">
        <v>46864</v>
      </c>
      <c r="Q38" s="214">
        <v>5.5555555555555558E-3</v>
      </c>
      <c r="R38" s="13"/>
      <c r="S38" s="13"/>
      <c r="T38" s="109">
        <v>333</v>
      </c>
      <c r="U38" s="109">
        <v>333</v>
      </c>
      <c r="V38" s="109">
        <v>333</v>
      </c>
      <c r="W38">
        <v>333</v>
      </c>
      <c r="X38">
        <v>333</v>
      </c>
      <c r="Y38">
        <v>333</v>
      </c>
      <c r="Z38" s="109">
        <v>333</v>
      </c>
      <c r="AA38" s="109">
        <v>333</v>
      </c>
      <c r="AB38" s="109">
        <v>333</v>
      </c>
      <c r="AC38">
        <v>333</v>
      </c>
      <c r="AD38">
        <v>333</v>
      </c>
      <c r="AE38">
        <v>333</v>
      </c>
      <c r="AF38" s="109">
        <v>333</v>
      </c>
      <c r="AG38" s="109">
        <v>333</v>
      </c>
      <c r="AH38" s="109">
        <v>333</v>
      </c>
      <c r="AI38">
        <v>333</v>
      </c>
      <c r="AJ38">
        <v>333</v>
      </c>
      <c r="AK38">
        <v>333</v>
      </c>
      <c r="AL38" s="109">
        <v>333</v>
      </c>
      <c r="AM38" s="109">
        <v>333</v>
      </c>
      <c r="AN38" s="109">
        <v>333</v>
      </c>
      <c r="AO38" s="109">
        <v>333</v>
      </c>
      <c r="AP38">
        <v>333</v>
      </c>
      <c r="AQ38">
        <v>333</v>
      </c>
    </row>
    <row r="39" spans="1:43" x14ac:dyDescent="0.3">
      <c r="A39" s="8">
        <v>43015</v>
      </c>
      <c r="J39" s="1">
        <v>41487</v>
      </c>
      <c r="K39" s="122">
        <v>541</v>
      </c>
      <c r="M39" s="6">
        <v>50000</v>
      </c>
      <c r="N39">
        <v>120499</v>
      </c>
      <c r="O39" s="15">
        <v>46136</v>
      </c>
      <c r="P39" s="15">
        <v>46867</v>
      </c>
      <c r="Q39" s="214">
        <v>5.5555555555555558E-3</v>
      </c>
      <c r="S39" s="13"/>
      <c r="T39" s="109">
        <v>333</v>
      </c>
      <c r="U39" s="109">
        <v>333</v>
      </c>
      <c r="V39" s="109">
        <v>333</v>
      </c>
      <c r="W39">
        <v>333</v>
      </c>
      <c r="X39">
        <v>333</v>
      </c>
      <c r="Y39">
        <v>333</v>
      </c>
      <c r="Z39" s="109">
        <v>333</v>
      </c>
      <c r="AA39" s="109">
        <v>333</v>
      </c>
      <c r="AB39" s="109">
        <v>333</v>
      </c>
      <c r="AC39">
        <v>333</v>
      </c>
      <c r="AD39">
        <v>333</v>
      </c>
      <c r="AE39">
        <v>333</v>
      </c>
      <c r="AF39" s="109">
        <v>333</v>
      </c>
      <c r="AG39" s="109">
        <v>333</v>
      </c>
      <c r="AH39" s="109">
        <v>333</v>
      </c>
      <c r="AI39">
        <v>333</v>
      </c>
      <c r="AJ39">
        <v>333</v>
      </c>
      <c r="AK39">
        <v>333</v>
      </c>
      <c r="AL39" s="109">
        <v>333</v>
      </c>
      <c r="AM39" s="109">
        <v>333</v>
      </c>
      <c r="AN39" s="109">
        <v>333</v>
      </c>
      <c r="AO39" s="109">
        <v>333</v>
      </c>
      <c r="AP39">
        <v>333</v>
      </c>
      <c r="AQ39">
        <v>333</v>
      </c>
    </row>
    <row r="40" spans="1:43" x14ac:dyDescent="0.3">
      <c r="A40" s="8">
        <v>43380</v>
      </c>
      <c r="J40" s="1">
        <v>41518</v>
      </c>
      <c r="K40" s="122">
        <v>541</v>
      </c>
      <c r="M40" s="6"/>
      <c r="N40" s="15"/>
      <c r="S40" s="13"/>
      <c r="T40" s="13"/>
      <c r="AA40" s="1"/>
    </row>
    <row r="41" spans="1:43" x14ac:dyDescent="0.3">
      <c r="A41" s="8">
        <v>43745</v>
      </c>
      <c r="J41" s="1">
        <v>41548</v>
      </c>
      <c r="K41" s="122">
        <v>541</v>
      </c>
      <c r="M41" s="6"/>
      <c r="N41" s="15"/>
      <c r="R41" s="13"/>
      <c r="S41" s="13"/>
      <c r="T41" s="13"/>
      <c r="AA41" s="1"/>
    </row>
    <row r="42" spans="1:43" x14ac:dyDescent="0.3">
      <c r="A42" s="8">
        <v>44111</v>
      </c>
      <c r="J42" s="1">
        <v>41579</v>
      </c>
      <c r="K42" s="122">
        <v>541</v>
      </c>
      <c r="M42" s="6"/>
      <c r="N42" s="15"/>
      <c r="R42" s="13"/>
      <c r="S42" s="13"/>
      <c r="T42" s="13"/>
    </row>
    <row r="43" spans="1:43" x14ac:dyDescent="0.3">
      <c r="A43" s="8">
        <v>44476</v>
      </c>
      <c r="J43" s="1">
        <v>41609</v>
      </c>
      <c r="K43" s="122">
        <v>541</v>
      </c>
      <c r="M43" s="6"/>
      <c r="N43" s="15"/>
      <c r="T43" s="13"/>
    </row>
    <row r="44" spans="1:43" x14ac:dyDescent="0.3">
      <c r="A44" s="8">
        <v>44841</v>
      </c>
      <c r="B44" s="24"/>
      <c r="C44" s="24"/>
      <c r="J44" s="1">
        <v>41640</v>
      </c>
      <c r="K44" s="122">
        <v>541</v>
      </c>
      <c r="M44" s="6"/>
      <c r="N44" s="15"/>
    </row>
    <row r="45" spans="1:43" x14ac:dyDescent="0.3">
      <c r="A45" s="8">
        <v>45206</v>
      </c>
      <c r="B45" s="24"/>
      <c r="C45" s="24"/>
      <c r="J45" s="1">
        <v>41671</v>
      </c>
      <c r="K45" s="122">
        <v>541</v>
      </c>
      <c r="M45" s="6"/>
      <c r="N45" s="15"/>
    </row>
    <row r="46" spans="1:43" x14ac:dyDescent="0.3">
      <c r="A46" s="8">
        <v>45572</v>
      </c>
      <c r="B46" s="24"/>
      <c r="C46" s="24"/>
      <c r="J46" s="1">
        <v>41699</v>
      </c>
      <c r="K46" s="122">
        <v>541</v>
      </c>
      <c r="M46" s="6"/>
      <c r="N46" s="15"/>
      <c r="O46" s="140"/>
      <c r="Q46" s="15"/>
    </row>
    <row r="47" spans="1:43" x14ac:dyDescent="0.3">
      <c r="A47" s="8">
        <v>45937</v>
      </c>
      <c r="J47" s="1">
        <v>41730</v>
      </c>
      <c r="K47" s="122">
        <v>541</v>
      </c>
      <c r="N47" s="6"/>
      <c r="O47" s="6"/>
      <c r="P47" s="6"/>
      <c r="Q47" s="6"/>
      <c r="R47" s="6"/>
      <c r="S47" s="6"/>
      <c r="W47" s="1"/>
    </row>
    <row r="48" spans="1:43" x14ac:dyDescent="0.3">
      <c r="A48" s="8">
        <v>46302</v>
      </c>
      <c r="J48" s="1">
        <v>41760</v>
      </c>
      <c r="K48" s="122">
        <v>541</v>
      </c>
      <c r="N48" s="31"/>
      <c r="O48" s="6"/>
      <c r="P48" s="31"/>
      <c r="Q48" s="6"/>
      <c r="R48" s="6"/>
      <c r="S48" s="6"/>
      <c r="X48" s="50"/>
    </row>
    <row r="49" spans="1:23" x14ac:dyDescent="0.3">
      <c r="A49" s="8">
        <v>46667</v>
      </c>
      <c r="J49" s="1">
        <v>41791</v>
      </c>
      <c r="K49" s="122">
        <v>541</v>
      </c>
      <c r="N49" s="6"/>
      <c r="O49" s="6"/>
      <c r="P49" s="6"/>
      <c r="Q49" s="6"/>
      <c r="R49" s="6"/>
      <c r="S49" s="6"/>
      <c r="W49" s="1"/>
    </row>
    <row r="50" spans="1:23" x14ac:dyDescent="0.3">
      <c r="A50" s="8">
        <v>47033</v>
      </c>
      <c r="J50" s="1">
        <v>41821</v>
      </c>
      <c r="K50" s="122">
        <v>541</v>
      </c>
      <c r="N50" s="6"/>
      <c r="O50" s="6"/>
      <c r="P50" s="6"/>
      <c r="Q50" s="6"/>
      <c r="R50" s="6"/>
      <c r="S50" s="6"/>
      <c r="W50" s="1"/>
    </row>
    <row r="51" spans="1:23" x14ac:dyDescent="0.3">
      <c r="A51" s="8">
        <v>47398</v>
      </c>
      <c r="J51" s="1">
        <v>41852</v>
      </c>
      <c r="K51" s="122">
        <v>541</v>
      </c>
      <c r="N51" s="6"/>
      <c r="O51" s="6"/>
      <c r="P51" s="6"/>
      <c r="Q51" s="6"/>
      <c r="R51" s="6"/>
      <c r="S51" s="6"/>
      <c r="W51" s="1"/>
    </row>
    <row r="52" spans="1:23" x14ac:dyDescent="0.3">
      <c r="J52" s="1">
        <v>41883</v>
      </c>
      <c r="K52" s="122">
        <v>541</v>
      </c>
      <c r="N52" s="6"/>
      <c r="O52" s="6"/>
      <c r="P52" s="6"/>
      <c r="Q52" s="6"/>
      <c r="R52" s="6"/>
      <c r="S52" s="6"/>
      <c r="W52" s="1"/>
    </row>
    <row r="53" spans="1:23" x14ac:dyDescent="0.3">
      <c r="J53" s="1">
        <v>41913</v>
      </c>
      <c r="K53" s="122">
        <v>1250</v>
      </c>
      <c r="N53" s="6"/>
      <c r="O53" s="6"/>
      <c r="P53" s="6"/>
      <c r="Q53" s="6"/>
      <c r="R53" s="6"/>
      <c r="S53" s="6"/>
      <c r="W53" s="1"/>
    </row>
    <row r="54" spans="1:23" x14ac:dyDescent="0.3">
      <c r="J54" s="1">
        <v>41944</v>
      </c>
      <c r="K54" s="122">
        <v>1250</v>
      </c>
      <c r="N54" s="6"/>
      <c r="O54" s="6"/>
      <c r="P54" s="6"/>
      <c r="Q54" s="6"/>
      <c r="R54" s="6"/>
      <c r="S54" s="6"/>
      <c r="W54" s="1"/>
    </row>
    <row r="55" spans="1:23" x14ac:dyDescent="0.3">
      <c r="J55" s="1">
        <v>41974</v>
      </c>
      <c r="K55" s="122">
        <v>1250</v>
      </c>
      <c r="N55" s="6"/>
      <c r="O55" s="6"/>
      <c r="P55" s="6"/>
      <c r="Q55" s="6"/>
      <c r="R55" s="6"/>
      <c r="S55" s="6"/>
      <c r="W55" s="1"/>
    </row>
    <row r="56" spans="1:23" x14ac:dyDescent="0.3">
      <c r="J56" s="1">
        <v>42005</v>
      </c>
      <c r="K56" s="122">
        <v>1250</v>
      </c>
      <c r="N56" s="6"/>
      <c r="O56" s="6"/>
      <c r="P56" s="6"/>
      <c r="Q56" s="6"/>
      <c r="R56" s="6"/>
      <c r="S56" s="6"/>
      <c r="W56" s="1"/>
    </row>
    <row r="57" spans="1:23" x14ac:dyDescent="0.3">
      <c r="J57" s="1">
        <v>42036</v>
      </c>
      <c r="K57" s="122">
        <v>1250</v>
      </c>
      <c r="N57" s="6"/>
      <c r="O57" s="6"/>
      <c r="P57" s="6"/>
      <c r="Q57" s="6"/>
      <c r="R57" s="6"/>
      <c r="S57" s="6"/>
      <c r="W57" s="1"/>
    </row>
    <row r="58" spans="1:23" x14ac:dyDescent="0.3">
      <c r="J58" s="1">
        <v>42064</v>
      </c>
      <c r="K58" s="122">
        <v>1250</v>
      </c>
      <c r="N58" s="6"/>
      <c r="O58" s="6"/>
      <c r="P58" s="6"/>
      <c r="Q58" s="6"/>
      <c r="R58" s="6"/>
      <c r="S58" s="6"/>
      <c r="W58" s="1"/>
    </row>
    <row r="59" spans="1:23" x14ac:dyDescent="0.3">
      <c r="J59" s="1">
        <v>42095</v>
      </c>
      <c r="K59" s="122">
        <v>1250</v>
      </c>
      <c r="N59" s="6"/>
      <c r="O59" s="6"/>
      <c r="P59" s="6"/>
      <c r="Q59" s="6"/>
      <c r="R59" s="6"/>
      <c r="S59" s="6"/>
      <c r="W59" s="1"/>
    </row>
    <row r="60" spans="1:23" x14ac:dyDescent="0.3">
      <c r="J60" s="1">
        <v>42125</v>
      </c>
      <c r="K60" s="122">
        <v>1250</v>
      </c>
      <c r="N60" s="6"/>
      <c r="O60" s="6"/>
      <c r="P60" s="6"/>
      <c r="Q60" s="6"/>
      <c r="R60" s="6"/>
      <c r="S60" s="6"/>
      <c r="W60" s="1"/>
    </row>
    <row r="61" spans="1:23" x14ac:dyDescent="0.3">
      <c r="J61" s="1">
        <v>42156</v>
      </c>
      <c r="K61" s="122">
        <v>1250</v>
      </c>
      <c r="N61" s="6"/>
      <c r="O61" s="6"/>
      <c r="P61" s="6"/>
      <c r="Q61" s="6"/>
      <c r="R61" s="6"/>
      <c r="S61" s="6"/>
    </row>
    <row r="62" spans="1:23" x14ac:dyDescent="0.3">
      <c r="J62" s="1">
        <v>42186</v>
      </c>
      <c r="K62" s="122">
        <v>1250</v>
      </c>
      <c r="N62" s="6"/>
      <c r="O62" s="6"/>
      <c r="P62" s="6"/>
      <c r="Q62" s="6"/>
      <c r="R62" s="6"/>
      <c r="S62" s="6"/>
    </row>
    <row r="63" spans="1:23" x14ac:dyDescent="0.3">
      <c r="J63" s="1">
        <v>42217</v>
      </c>
      <c r="K63" s="122">
        <v>1250</v>
      </c>
      <c r="N63" s="6"/>
      <c r="O63" s="6"/>
      <c r="P63" s="6"/>
      <c r="Q63" s="6"/>
      <c r="R63" s="6"/>
      <c r="S63" s="6"/>
    </row>
    <row r="64" spans="1:23" x14ac:dyDescent="0.3">
      <c r="J64" s="1">
        <v>42248</v>
      </c>
      <c r="K64" s="122">
        <v>1250</v>
      </c>
      <c r="N64" s="6"/>
      <c r="O64" s="6"/>
      <c r="P64" s="6"/>
      <c r="Q64" s="6"/>
      <c r="R64" s="6"/>
      <c r="S64" s="6"/>
    </row>
    <row r="65" spans="1:19" x14ac:dyDescent="0.3">
      <c r="J65" s="1">
        <v>42278</v>
      </c>
      <c r="K65" s="122">
        <v>1250</v>
      </c>
      <c r="N65" s="6"/>
      <c r="O65" s="6"/>
      <c r="P65" s="6"/>
      <c r="Q65" s="6"/>
      <c r="R65" s="6"/>
      <c r="S65" s="6"/>
    </row>
    <row r="66" spans="1:19" x14ac:dyDescent="0.3">
      <c r="A66" s="1"/>
      <c r="B66" s="1"/>
      <c r="C66" s="1"/>
      <c r="D66" s="1"/>
      <c r="E66" s="1"/>
      <c r="F66" s="1"/>
      <c r="H66" s="1"/>
      <c r="J66" s="1">
        <v>42309</v>
      </c>
      <c r="K66" s="122">
        <v>1250</v>
      </c>
      <c r="N66" s="6"/>
      <c r="O66" s="6"/>
      <c r="P66" s="6"/>
      <c r="Q66" s="6"/>
      <c r="R66" s="6"/>
      <c r="S66" s="6"/>
    </row>
    <row r="67" spans="1:19" x14ac:dyDescent="0.3">
      <c r="J67" s="1">
        <v>42339</v>
      </c>
      <c r="K67" s="122">
        <v>1250</v>
      </c>
      <c r="N67" s="6"/>
      <c r="O67" s="6"/>
      <c r="P67" s="6"/>
      <c r="Q67" s="6"/>
      <c r="R67" s="6"/>
      <c r="S67" s="6"/>
    </row>
    <row r="68" spans="1:19" x14ac:dyDescent="0.3">
      <c r="J68" s="1">
        <v>42370</v>
      </c>
      <c r="K68" s="122">
        <v>1250</v>
      </c>
      <c r="N68" s="6"/>
      <c r="O68" s="6"/>
      <c r="P68" s="6"/>
      <c r="Q68" s="6"/>
      <c r="R68" s="6"/>
      <c r="S68" s="6"/>
    </row>
    <row r="69" spans="1:19" x14ac:dyDescent="0.3">
      <c r="J69" s="1">
        <v>42401</v>
      </c>
      <c r="K69" s="122">
        <v>1250</v>
      </c>
      <c r="N69" s="6"/>
      <c r="O69" s="6"/>
      <c r="P69" s="6"/>
      <c r="Q69" s="6"/>
      <c r="R69" s="6"/>
      <c r="S69" s="6"/>
    </row>
    <row r="70" spans="1:19" x14ac:dyDescent="0.3">
      <c r="J70" s="1">
        <v>42430</v>
      </c>
      <c r="K70" s="122">
        <v>1250</v>
      </c>
      <c r="N70" s="6"/>
      <c r="O70" s="6"/>
      <c r="P70" s="6"/>
      <c r="Q70" s="6"/>
      <c r="R70" s="6"/>
      <c r="S70" s="6"/>
    </row>
    <row r="71" spans="1:19" x14ac:dyDescent="0.3">
      <c r="J71" s="1">
        <v>42461</v>
      </c>
      <c r="K71" s="122">
        <v>1250</v>
      </c>
      <c r="N71" s="6"/>
      <c r="O71" s="6"/>
      <c r="P71" s="6"/>
      <c r="Q71" s="6"/>
      <c r="R71" s="6"/>
      <c r="S71" s="6"/>
    </row>
    <row r="72" spans="1:19" x14ac:dyDescent="0.3">
      <c r="J72" s="1">
        <v>42491</v>
      </c>
      <c r="K72" s="122">
        <v>1250</v>
      </c>
      <c r="N72" s="6"/>
      <c r="O72" s="6"/>
      <c r="P72" s="6"/>
      <c r="Q72" s="6"/>
      <c r="R72" s="6"/>
      <c r="S72" s="6"/>
    </row>
    <row r="73" spans="1:19" x14ac:dyDescent="0.3">
      <c r="J73" s="1">
        <v>42522</v>
      </c>
      <c r="K73" s="122">
        <v>1250</v>
      </c>
      <c r="N73" s="6"/>
      <c r="O73" s="6"/>
      <c r="P73" s="6"/>
      <c r="Q73" s="6"/>
      <c r="R73" s="6"/>
      <c r="S73" s="6"/>
    </row>
    <row r="74" spans="1:19" x14ac:dyDescent="0.3">
      <c r="J74" s="1">
        <v>42552</v>
      </c>
      <c r="K74" s="122">
        <v>1250</v>
      </c>
      <c r="N74" s="6"/>
      <c r="O74" s="6"/>
      <c r="P74" s="6"/>
      <c r="Q74" s="6"/>
      <c r="R74" s="6"/>
      <c r="S74" s="6"/>
    </row>
    <row r="75" spans="1:19" x14ac:dyDescent="0.3">
      <c r="J75" s="1">
        <v>42583</v>
      </c>
      <c r="K75" s="122">
        <v>1250</v>
      </c>
      <c r="N75" s="6"/>
      <c r="O75" s="6"/>
      <c r="P75" s="6"/>
      <c r="Q75" s="6"/>
      <c r="R75" s="6"/>
      <c r="S75" s="6"/>
    </row>
    <row r="76" spans="1:19" x14ac:dyDescent="0.3">
      <c r="J76" s="1">
        <v>42614</v>
      </c>
      <c r="K76" s="122">
        <v>1250</v>
      </c>
      <c r="N76" s="6"/>
      <c r="O76" s="6"/>
      <c r="P76" s="6"/>
      <c r="Q76" s="6"/>
      <c r="R76" s="6"/>
      <c r="S76" s="6"/>
    </row>
    <row r="77" spans="1:19" x14ac:dyDescent="0.3">
      <c r="J77" s="1">
        <v>42644</v>
      </c>
      <c r="K77" s="122">
        <v>1250</v>
      </c>
      <c r="N77" s="6"/>
      <c r="O77" s="6"/>
      <c r="P77" s="6"/>
      <c r="Q77" s="6"/>
      <c r="R77" s="6"/>
      <c r="S77" s="6"/>
    </row>
    <row r="78" spans="1:19" x14ac:dyDescent="0.3">
      <c r="J78" s="1">
        <v>42675</v>
      </c>
      <c r="K78" s="122">
        <v>1250</v>
      </c>
      <c r="N78" s="6"/>
      <c r="O78" s="6"/>
      <c r="P78" s="6"/>
      <c r="Q78" s="6"/>
      <c r="R78" s="6"/>
      <c r="S78" s="6"/>
    </row>
    <row r="79" spans="1:19" x14ac:dyDescent="0.3">
      <c r="J79" s="1">
        <v>42705</v>
      </c>
      <c r="K79" s="122">
        <v>1250</v>
      </c>
      <c r="N79" s="6"/>
      <c r="O79" s="6"/>
      <c r="P79" s="6"/>
      <c r="Q79" s="6"/>
      <c r="R79" s="6"/>
      <c r="S79" s="6"/>
    </row>
    <row r="80" spans="1:19" x14ac:dyDescent="0.3">
      <c r="J80" s="1">
        <v>42736</v>
      </c>
      <c r="K80" s="122">
        <v>1250</v>
      </c>
      <c r="N80" s="6"/>
      <c r="O80" s="6"/>
      <c r="P80" s="6"/>
      <c r="Q80" s="6"/>
      <c r="R80" s="6"/>
      <c r="S80" s="6"/>
    </row>
    <row r="81" spans="2:23" x14ac:dyDescent="0.3">
      <c r="J81" s="1">
        <v>42767</v>
      </c>
      <c r="K81" s="122">
        <v>1250</v>
      </c>
      <c r="N81" s="6"/>
      <c r="O81" s="6"/>
      <c r="P81" s="6"/>
      <c r="Q81" s="6"/>
      <c r="R81" s="6"/>
      <c r="S81" s="6"/>
      <c r="V81">
        <v>209951</v>
      </c>
    </row>
    <row r="82" spans="2:23" x14ac:dyDescent="0.3">
      <c r="B82" s="15"/>
      <c r="J82" s="1">
        <v>42795</v>
      </c>
      <c r="K82" s="122">
        <v>1250</v>
      </c>
      <c r="N82" s="6"/>
      <c r="O82" s="6"/>
      <c r="P82" s="6"/>
      <c r="Q82" s="6"/>
      <c r="R82" s="6"/>
      <c r="S82" s="6"/>
    </row>
    <row r="83" spans="2:23" x14ac:dyDescent="0.3">
      <c r="B83" s="15"/>
      <c r="J83" s="1">
        <v>42826</v>
      </c>
      <c r="K83" s="122">
        <v>1250</v>
      </c>
      <c r="N83" s="6"/>
      <c r="O83" s="6"/>
      <c r="P83" s="6"/>
      <c r="Q83" s="6"/>
      <c r="R83" s="6"/>
      <c r="S83" s="6"/>
    </row>
    <row r="84" spans="2:23" x14ac:dyDescent="0.3">
      <c r="B84" s="15"/>
      <c r="J84" s="1">
        <v>42856</v>
      </c>
      <c r="K84" s="122">
        <v>1250</v>
      </c>
      <c r="N84" s="6"/>
      <c r="O84" s="6"/>
      <c r="P84" s="6"/>
      <c r="Q84" s="6"/>
      <c r="R84" s="6"/>
      <c r="S84" s="6"/>
    </row>
    <row r="85" spans="2:23" x14ac:dyDescent="0.3">
      <c r="B85" s="15"/>
      <c r="J85" s="1">
        <v>42887</v>
      </c>
      <c r="K85" s="122">
        <v>1250</v>
      </c>
      <c r="N85" s="6"/>
      <c r="O85" s="6"/>
      <c r="P85" s="6"/>
      <c r="Q85" s="6"/>
      <c r="R85" s="6"/>
      <c r="S85" s="6"/>
    </row>
    <row r="86" spans="2:23" x14ac:dyDescent="0.3">
      <c r="B86" s="15"/>
      <c r="J86" s="1">
        <v>42917</v>
      </c>
      <c r="K86" s="122">
        <v>1250</v>
      </c>
      <c r="N86" s="6"/>
      <c r="O86" s="6"/>
      <c r="P86" s="6"/>
      <c r="Q86" s="6"/>
      <c r="R86" s="6"/>
      <c r="S86" s="6"/>
    </row>
    <row r="87" spans="2:23" x14ac:dyDescent="0.3">
      <c r="B87" s="15"/>
      <c r="J87" s="1">
        <v>42948</v>
      </c>
      <c r="K87" s="122">
        <v>1250</v>
      </c>
      <c r="N87" s="6"/>
      <c r="O87" s="6"/>
      <c r="P87" s="6"/>
      <c r="Q87" s="6"/>
      <c r="R87" s="6"/>
      <c r="S87" s="6"/>
    </row>
    <row r="88" spans="2:23" x14ac:dyDescent="0.3">
      <c r="B88" s="15"/>
      <c r="J88" s="1">
        <v>42979</v>
      </c>
      <c r="K88" s="122">
        <v>1250</v>
      </c>
      <c r="N88" s="6"/>
      <c r="O88" s="6"/>
      <c r="P88" s="6"/>
      <c r="Q88" s="6"/>
      <c r="R88" s="6"/>
      <c r="S88" s="6"/>
    </row>
    <row r="89" spans="2:23" x14ac:dyDescent="0.3">
      <c r="B89" s="15"/>
      <c r="J89" s="1">
        <v>43009</v>
      </c>
      <c r="K89" s="122">
        <v>1250</v>
      </c>
      <c r="N89" s="6"/>
      <c r="O89" s="6"/>
      <c r="P89" s="6"/>
      <c r="Q89" s="6"/>
      <c r="R89" s="6"/>
      <c r="S89" s="6"/>
      <c r="W89">
        <v>96960</v>
      </c>
    </row>
    <row r="90" spans="2:23" x14ac:dyDescent="0.3">
      <c r="B90" s="15"/>
      <c r="J90" s="1">
        <v>43040</v>
      </c>
      <c r="K90" s="122">
        <v>1250</v>
      </c>
      <c r="N90" s="6"/>
      <c r="O90" s="6"/>
      <c r="P90" s="6"/>
      <c r="Q90" s="6"/>
      <c r="R90" s="6"/>
      <c r="S90" s="6"/>
      <c r="W90">
        <v>96928</v>
      </c>
    </row>
    <row r="91" spans="2:23" x14ac:dyDescent="0.3">
      <c r="B91" s="15"/>
      <c r="J91" s="1">
        <v>43070</v>
      </c>
      <c r="K91" s="122">
        <v>1250</v>
      </c>
      <c r="N91" s="6"/>
      <c r="O91" s="6"/>
      <c r="P91" s="6"/>
      <c r="Q91" s="6"/>
      <c r="R91" s="6"/>
      <c r="S91" s="6"/>
      <c r="W91">
        <v>98062</v>
      </c>
    </row>
    <row r="92" spans="2:23" x14ac:dyDescent="0.3">
      <c r="B92" s="15"/>
      <c r="J92" s="1">
        <v>43101</v>
      </c>
      <c r="K92" s="122">
        <v>1250</v>
      </c>
      <c r="N92" s="6"/>
      <c r="O92" s="6"/>
      <c r="P92" s="6"/>
      <c r="Q92" s="6"/>
      <c r="R92" s="6"/>
      <c r="S92" s="6"/>
    </row>
    <row r="93" spans="2:23" x14ac:dyDescent="0.3">
      <c r="B93" s="15"/>
      <c r="J93" s="1">
        <v>43132</v>
      </c>
      <c r="K93" s="122">
        <v>1250</v>
      </c>
      <c r="N93" s="6"/>
      <c r="O93" s="6"/>
      <c r="P93" s="6"/>
      <c r="Q93" s="6"/>
      <c r="R93" s="6"/>
      <c r="S93" s="6"/>
    </row>
    <row r="94" spans="2:23" x14ac:dyDescent="0.3">
      <c r="B94" s="15"/>
      <c r="J94" s="1">
        <v>43160</v>
      </c>
      <c r="K94" s="122">
        <v>1250</v>
      </c>
      <c r="N94" s="6"/>
      <c r="O94" s="6"/>
      <c r="P94" s="6"/>
      <c r="Q94" s="6"/>
      <c r="R94" s="6"/>
    </row>
    <row r="95" spans="2:23" x14ac:dyDescent="0.3">
      <c r="J95" s="1">
        <v>43191</v>
      </c>
      <c r="K95" s="122">
        <v>1250</v>
      </c>
      <c r="N95" s="6"/>
      <c r="O95" s="6"/>
      <c r="P95" s="6"/>
      <c r="Q95" s="6"/>
      <c r="R95" s="6"/>
    </row>
    <row r="96" spans="2:23" x14ac:dyDescent="0.3">
      <c r="J96" s="1">
        <v>43221</v>
      </c>
      <c r="K96" s="122">
        <v>1250</v>
      </c>
      <c r="N96" s="6"/>
      <c r="O96" s="6"/>
      <c r="P96" s="6"/>
      <c r="Q96" s="6"/>
      <c r="R96" s="6"/>
    </row>
    <row r="97" spans="10:18" x14ac:dyDescent="0.3">
      <c r="J97" s="1">
        <v>43252</v>
      </c>
      <c r="K97" s="122">
        <v>1250</v>
      </c>
      <c r="N97" s="6"/>
      <c r="O97" s="6"/>
      <c r="P97" s="6"/>
      <c r="Q97" s="6"/>
      <c r="R97" s="6"/>
    </row>
    <row r="98" spans="10:18" x14ac:dyDescent="0.3">
      <c r="J98" s="1">
        <v>43282</v>
      </c>
      <c r="K98" s="122">
        <v>1250</v>
      </c>
      <c r="N98" s="6"/>
      <c r="O98" s="6"/>
      <c r="P98" s="6"/>
      <c r="Q98" s="6"/>
      <c r="R98" s="6"/>
    </row>
    <row r="99" spans="10:18" x14ac:dyDescent="0.3">
      <c r="J99" s="1">
        <v>43313</v>
      </c>
      <c r="K99" s="122">
        <v>1250</v>
      </c>
      <c r="N99" s="6"/>
      <c r="O99" s="6"/>
      <c r="P99" s="6"/>
      <c r="Q99" s="6"/>
      <c r="R99" s="6"/>
    </row>
    <row r="100" spans="10:18" x14ac:dyDescent="0.3">
      <c r="J100" s="1">
        <v>43344</v>
      </c>
      <c r="K100" s="122">
        <v>1250</v>
      </c>
      <c r="N100" s="6"/>
      <c r="O100" s="6"/>
      <c r="P100" s="6"/>
      <c r="Q100" s="6"/>
      <c r="R100" s="6"/>
    </row>
    <row r="101" spans="10:18" x14ac:dyDescent="0.3">
      <c r="J101" s="1">
        <v>43374</v>
      </c>
      <c r="K101" s="122">
        <v>1250</v>
      </c>
      <c r="N101" s="6"/>
      <c r="O101" s="6"/>
      <c r="P101" s="6"/>
      <c r="Q101" s="6"/>
      <c r="R101" s="6"/>
    </row>
    <row r="102" spans="10:18" x14ac:dyDescent="0.3">
      <c r="J102" s="1">
        <v>43405</v>
      </c>
      <c r="K102" s="122">
        <v>1250</v>
      </c>
      <c r="N102" s="6"/>
      <c r="O102" s="6"/>
      <c r="P102" s="6"/>
      <c r="Q102" s="6"/>
      <c r="R102" s="6"/>
    </row>
    <row r="103" spans="10:18" x14ac:dyDescent="0.3">
      <c r="J103" s="1">
        <v>43435</v>
      </c>
      <c r="K103" s="122">
        <v>1250</v>
      </c>
      <c r="N103" s="6"/>
      <c r="O103" s="6"/>
      <c r="P103" s="6"/>
      <c r="Q103" s="6"/>
      <c r="R103" s="6"/>
    </row>
    <row r="104" spans="10:18" x14ac:dyDescent="0.3">
      <c r="J104" s="1">
        <v>43466</v>
      </c>
      <c r="K104" s="122">
        <v>1250</v>
      </c>
      <c r="N104" s="6"/>
      <c r="O104" s="6"/>
      <c r="P104" s="6"/>
      <c r="Q104" s="6"/>
      <c r="R104" s="6"/>
    </row>
    <row r="105" spans="10:18" x14ac:dyDescent="0.3">
      <c r="J105" s="1">
        <v>43497</v>
      </c>
      <c r="K105" s="122">
        <v>1250</v>
      </c>
      <c r="N105" s="6"/>
      <c r="O105" s="6"/>
      <c r="P105" s="6"/>
      <c r="Q105" s="6"/>
      <c r="R105" s="6"/>
    </row>
    <row r="106" spans="10:18" x14ac:dyDescent="0.3">
      <c r="J106" s="1">
        <v>43525</v>
      </c>
      <c r="K106" s="122">
        <v>1250</v>
      </c>
      <c r="N106" s="6"/>
      <c r="O106" s="6"/>
      <c r="P106" s="6"/>
      <c r="Q106" s="6"/>
      <c r="R106" s="6"/>
    </row>
    <row r="107" spans="10:18" x14ac:dyDescent="0.3">
      <c r="J107" s="1">
        <v>43556</v>
      </c>
      <c r="K107" s="122">
        <v>1250</v>
      </c>
      <c r="N107" s="6"/>
      <c r="O107" s="6"/>
      <c r="P107" s="6"/>
      <c r="Q107" s="6"/>
      <c r="R107" s="6"/>
    </row>
    <row r="108" spans="10:18" x14ac:dyDescent="0.3">
      <c r="J108" s="1">
        <v>43586</v>
      </c>
      <c r="K108" s="122">
        <v>1250</v>
      </c>
      <c r="P108" s="15"/>
      <c r="Q108" s="140"/>
    </row>
    <row r="109" spans="10:18" x14ac:dyDescent="0.3">
      <c r="J109" s="1">
        <v>43617</v>
      </c>
      <c r="K109" s="122">
        <v>1250</v>
      </c>
    </row>
    <row r="110" spans="10:18" x14ac:dyDescent="0.3">
      <c r="J110" s="1">
        <v>43647</v>
      </c>
      <c r="K110" s="122">
        <v>1250</v>
      </c>
    </row>
    <row r="111" spans="10:18" x14ac:dyDescent="0.3">
      <c r="J111" s="1">
        <v>43678</v>
      </c>
      <c r="K111" s="122">
        <v>1250</v>
      </c>
    </row>
    <row r="112" spans="10:18" x14ac:dyDescent="0.3">
      <c r="J112" s="1">
        <v>43709</v>
      </c>
      <c r="K112" s="122">
        <v>1250</v>
      </c>
    </row>
    <row r="113" spans="10:16" x14ac:dyDescent="0.3">
      <c r="J113" s="1">
        <v>43739</v>
      </c>
      <c r="K113" s="122">
        <v>1250</v>
      </c>
    </row>
    <row r="114" spans="10:16" x14ac:dyDescent="0.3">
      <c r="J114" s="1">
        <v>43770</v>
      </c>
      <c r="K114" s="122">
        <v>1250</v>
      </c>
    </row>
    <row r="115" spans="10:16" x14ac:dyDescent="0.3">
      <c r="J115" s="1">
        <v>43800</v>
      </c>
      <c r="K115" s="122">
        <v>1250</v>
      </c>
    </row>
    <row r="116" spans="10:16" x14ac:dyDescent="0.3">
      <c r="J116" s="1">
        <v>43831</v>
      </c>
      <c r="K116" s="122">
        <v>1250</v>
      </c>
      <c r="P116" s="15"/>
    </row>
    <row r="117" spans="10:16" x14ac:dyDescent="0.3">
      <c r="J117" s="1">
        <v>43862</v>
      </c>
      <c r="K117" s="122">
        <v>1250</v>
      </c>
    </row>
    <row r="118" spans="10:16" x14ac:dyDescent="0.3">
      <c r="J118" s="1">
        <v>43891</v>
      </c>
      <c r="K118" s="122">
        <v>1250</v>
      </c>
    </row>
    <row r="119" spans="10:16" x14ac:dyDescent="0.3">
      <c r="J119" s="1">
        <v>43922</v>
      </c>
      <c r="K119" s="122">
        <v>1250</v>
      </c>
    </row>
    <row r="120" spans="10:16" x14ac:dyDescent="0.3">
      <c r="J120" s="1">
        <v>43952</v>
      </c>
      <c r="K120" s="122">
        <v>1250</v>
      </c>
    </row>
    <row r="121" spans="10:16" x14ac:dyDescent="0.3">
      <c r="J121" s="1">
        <v>43983</v>
      </c>
      <c r="K121" s="122">
        <v>1250</v>
      </c>
    </row>
    <row r="122" spans="10:16" x14ac:dyDescent="0.3">
      <c r="J122" s="1">
        <v>44013</v>
      </c>
      <c r="K122" s="122">
        <v>1250</v>
      </c>
    </row>
    <row r="123" spans="10:16" x14ac:dyDescent="0.3">
      <c r="J123" s="1">
        <v>44044</v>
      </c>
      <c r="K123" s="122">
        <v>1250</v>
      </c>
    </row>
    <row r="124" spans="10:16" x14ac:dyDescent="0.3">
      <c r="J124" s="1">
        <v>44075</v>
      </c>
      <c r="K124" s="122">
        <v>1250</v>
      </c>
    </row>
    <row r="125" spans="10:16" x14ac:dyDescent="0.3">
      <c r="J125" s="1">
        <v>44105</v>
      </c>
      <c r="K125" s="122">
        <v>1250</v>
      </c>
    </row>
    <row r="126" spans="10:16" x14ac:dyDescent="0.3">
      <c r="J126" s="1">
        <v>44136</v>
      </c>
      <c r="K126" s="122">
        <v>1250</v>
      </c>
    </row>
    <row r="127" spans="10:16" x14ac:dyDescent="0.3">
      <c r="J127" s="1">
        <v>44166</v>
      </c>
      <c r="K127" s="122">
        <v>1250</v>
      </c>
    </row>
    <row r="128" spans="10:16" x14ac:dyDescent="0.3">
      <c r="J128" s="1">
        <v>44197</v>
      </c>
      <c r="K128" s="122">
        <v>1250</v>
      </c>
    </row>
    <row r="129" spans="10:11" x14ac:dyDescent="0.3">
      <c r="J129" s="1">
        <v>44228</v>
      </c>
      <c r="K129" s="122">
        <v>1250</v>
      </c>
    </row>
    <row r="130" spans="10:11" x14ac:dyDescent="0.3">
      <c r="J130" s="1">
        <v>44256</v>
      </c>
      <c r="K130" s="122">
        <v>1250</v>
      </c>
    </row>
    <row r="131" spans="10:11" x14ac:dyDescent="0.3">
      <c r="J131" s="1">
        <v>44287</v>
      </c>
      <c r="K131" s="122">
        <v>1250</v>
      </c>
    </row>
    <row r="132" spans="10:11" x14ac:dyDescent="0.3">
      <c r="J132" s="1">
        <v>44317</v>
      </c>
      <c r="K132" s="122">
        <v>1250</v>
      </c>
    </row>
    <row r="133" spans="10:11" x14ac:dyDescent="0.3">
      <c r="J133" s="1">
        <v>44348</v>
      </c>
      <c r="K133" s="122">
        <v>1250</v>
      </c>
    </row>
    <row r="134" spans="10:11" x14ac:dyDescent="0.3">
      <c r="J134" s="1">
        <v>44378</v>
      </c>
      <c r="K134" s="122">
        <v>1250</v>
      </c>
    </row>
    <row r="135" spans="10:11" x14ac:dyDescent="0.3">
      <c r="J135" s="1">
        <v>44409</v>
      </c>
      <c r="K135" s="122">
        <v>1250</v>
      </c>
    </row>
    <row r="136" spans="10:11" x14ac:dyDescent="0.3">
      <c r="J136" s="1">
        <v>44440</v>
      </c>
      <c r="K136" s="122">
        <v>1250</v>
      </c>
    </row>
    <row r="137" spans="10:11" x14ac:dyDescent="0.3">
      <c r="J137" s="1">
        <v>44470</v>
      </c>
      <c r="K137" s="122">
        <v>1250</v>
      </c>
    </row>
    <row r="138" spans="10:11" x14ac:dyDescent="0.3">
      <c r="J138" s="1">
        <v>44501</v>
      </c>
      <c r="K138" s="122">
        <v>1250</v>
      </c>
    </row>
    <row r="139" spans="10:11" x14ac:dyDescent="0.3">
      <c r="J139" s="1">
        <v>44531</v>
      </c>
      <c r="K139" s="122">
        <v>1250</v>
      </c>
    </row>
    <row r="140" spans="10:11" x14ac:dyDescent="0.3">
      <c r="J140" s="1">
        <v>44562</v>
      </c>
      <c r="K140" s="122">
        <v>1250</v>
      </c>
    </row>
    <row r="141" spans="10:11" x14ac:dyDescent="0.3">
      <c r="J141" s="1">
        <v>44593</v>
      </c>
      <c r="K141" s="122">
        <v>1250</v>
      </c>
    </row>
    <row r="142" spans="10:11" x14ac:dyDescent="0.3">
      <c r="J142" s="1">
        <v>44621</v>
      </c>
      <c r="K142" s="122">
        <v>1250</v>
      </c>
    </row>
    <row r="143" spans="10:11" x14ac:dyDescent="0.3">
      <c r="J143" s="1">
        <v>44652</v>
      </c>
      <c r="K143" s="122">
        <v>1250</v>
      </c>
    </row>
    <row r="144" spans="10:11" x14ac:dyDescent="0.3">
      <c r="J144" s="1">
        <v>44682</v>
      </c>
      <c r="K144" s="122">
        <v>1250</v>
      </c>
    </row>
    <row r="145" spans="10:11" x14ac:dyDescent="0.3">
      <c r="J145" s="1">
        <v>44713</v>
      </c>
      <c r="K145" s="122">
        <v>1250</v>
      </c>
    </row>
    <row r="146" spans="10:11" x14ac:dyDescent="0.3">
      <c r="J146" s="1">
        <v>44743</v>
      </c>
      <c r="K146" s="122">
        <v>1250</v>
      </c>
    </row>
    <row r="147" spans="10:11" x14ac:dyDescent="0.3">
      <c r="J147" s="1">
        <v>44774</v>
      </c>
      <c r="K147" s="122">
        <v>1250</v>
      </c>
    </row>
    <row r="148" spans="10:11" x14ac:dyDescent="0.3">
      <c r="J148" s="1">
        <v>44805</v>
      </c>
      <c r="K148" s="122">
        <v>1250</v>
      </c>
    </row>
    <row r="149" spans="10:11" x14ac:dyDescent="0.3">
      <c r="J149" s="1">
        <v>44835</v>
      </c>
      <c r="K149" s="122">
        <v>1250</v>
      </c>
    </row>
    <row r="150" spans="10:11" x14ac:dyDescent="0.3">
      <c r="J150" s="1">
        <v>44866</v>
      </c>
      <c r="K150" s="122">
        <v>1250</v>
      </c>
    </row>
    <row r="151" spans="10:11" x14ac:dyDescent="0.3">
      <c r="J151" s="1">
        <v>44896</v>
      </c>
      <c r="K151" s="122">
        <v>1250</v>
      </c>
    </row>
    <row r="152" spans="10:11" x14ac:dyDescent="0.3">
      <c r="J152" s="1">
        <v>44927</v>
      </c>
      <c r="K152" s="122">
        <v>1250</v>
      </c>
    </row>
    <row r="153" spans="10:11" x14ac:dyDescent="0.3">
      <c r="J153" s="1">
        <v>44958</v>
      </c>
      <c r="K153" s="122">
        <v>1250</v>
      </c>
    </row>
    <row r="154" spans="10:11" x14ac:dyDescent="0.3">
      <c r="J154" s="1">
        <v>44986</v>
      </c>
      <c r="K154" s="122">
        <v>1250</v>
      </c>
    </row>
    <row r="155" spans="10:11" x14ac:dyDescent="0.3">
      <c r="J155" s="1">
        <v>45017</v>
      </c>
      <c r="K155" s="122">
        <v>1250</v>
      </c>
    </row>
    <row r="156" spans="10:11" x14ac:dyDescent="0.3">
      <c r="J156" s="1">
        <v>45047</v>
      </c>
      <c r="K156" s="122">
        <v>1250</v>
      </c>
    </row>
    <row r="157" spans="10:11" x14ac:dyDescent="0.3">
      <c r="J157" s="1">
        <v>45078</v>
      </c>
      <c r="K157" s="122">
        <v>1250</v>
      </c>
    </row>
    <row r="158" spans="10:11" x14ac:dyDescent="0.3">
      <c r="J158" s="1">
        <v>45108</v>
      </c>
      <c r="K158" s="122">
        <v>1250</v>
      </c>
    </row>
    <row r="159" spans="10:11" x14ac:dyDescent="0.3">
      <c r="J159" s="1">
        <v>45139</v>
      </c>
      <c r="K159" s="122">
        <v>1250</v>
      </c>
    </row>
    <row r="160" spans="10:11" x14ac:dyDescent="0.3">
      <c r="J160" s="1">
        <v>45170</v>
      </c>
      <c r="K160" s="122">
        <v>1250</v>
      </c>
    </row>
    <row r="161" spans="10:11" x14ac:dyDescent="0.3">
      <c r="J161" s="1">
        <v>45200</v>
      </c>
      <c r="K161" s="122">
        <v>1250</v>
      </c>
    </row>
    <row r="162" spans="10:11" x14ac:dyDescent="0.3">
      <c r="J162" s="1">
        <v>45231</v>
      </c>
      <c r="K162" s="122">
        <v>1250</v>
      </c>
    </row>
    <row r="163" spans="10:11" x14ac:dyDescent="0.3">
      <c r="J163" s="1">
        <v>45261</v>
      </c>
      <c r="K163" s="122">
        <v>1250</v>
      </c>
    </row>
    <row r="164" spans="10:11" x14ac:dyDescent="0.3">
      <c r="J164" s="1">
        <v>45292</v>
      </c>
      <c r="K164" s="122">
        <v>1250</v>
      </c>
    </row>
    <row r="165" spans="10:11" x14ac:dyDescent="0.3">
      <c r="J165" s="1">
        <v>45323</v>
      </c>
      <c r="K165" s="122">
        <v>1250</v>
      </c>
    </row>
    <row r="166" spans="10:11" x14ac:dyDescent="0.3">
      <c r="J166" s="1">
        <v>45352</v>
      </c>
      <c r="K166" s="122">
        <v>1250</v>
      </c>
    </row>
    <row r="167" spans="10:11" x14ac:dyDescent="0.3">
      <c r="J167" s="1">
        <v>45383</v>
      </c>
      <c r="K167" s="122">
        <v>1250</v>
      </c>
    </row>
    <row r="168" spans="10:11" x14ac:dyDescent="0.3">
      <c r="J168" s="1">
        <v>45413</v>
      </c>
      <c r="K168" s="122">
        <v>1250</v>
      </c>
    </row>
    <row r="169" spans="10:11" x14ac:dyDescent="0.3">
      <c r="J169" s="1">
        <v>45444</v>
      </c>
      <c r="K169" s="122">
        <v>1250</v>
      </c>
    </row>
    <row r="170" spans="10:11" x14ac:dyDescent="0.3">
      <c r="J170" s="1">
        <v>45474</v>
      </c>
      <c r="K170" s="122">
        <v>1250</v>
      </c>
    </row>
    <row r="171" spans="10:11" x14ac:dyDescent="0.3">
      <c r="J171" s="1">
        <v>45505</v>
      </c>
      <c r="K171" s="122">
        <v>1250</v>
      </c>
    </row>
    <row r="172" spans="10:11" x14ac:dyDescent="0.3">
      <c r="J172" s="1">
        <v>45536</v>
      </c>
      <c r="K172" s="122">
        <v>1250</v>
      </c>
    </row>
    <row r="173" spans="10:11" x14ac:dyDescent="0.3">
      <c r="J173" s="1">
        <v>45566</v>
      </c>
      <c r="K173" s="122">
        <v>1250</v>
      </c>
    </row>
    <row r="174" spans="10:11" x14ac:dyDescent="0.3">
      <c r="J174" s="1">
        <v>45597</v>
      </c>
      <c r="K174" s="122">
        <v>1250</v>
      </c>
    </row>
    <row r="175" spans="10:11" x14ac:dyDescent="0.3">
      <c r="J175" s="1">
        <v>45627</v>
      </c>
      <c r="K175" s="122">
        <v>1250</v>
      </c>
    </row>
    <row r="176" spans="10:11" x14ac:dyDescent="0.3">
      <c r="J176" s="1">
        <v>45658</v>
      </c>
      <c r="K176" s="122">
        <v>1250</v>
      </c>
    </row>
    <row r="177" spans="10:11" x14ac:dyDescent="0.3">
      <c r="J177" s="1">
        <v>45689</v>
      </c>
      <c r="K177" s="122">
        <v>1250</v>
      </c>
    </row>
    <row r="178" spans="10:11" x14ac:dyDescent="0.3">
      <c r="J178" s="1">
        <v>45717</v>
      </c>
      <c r="K178" s="122">
        <v>1250</v>
      </c>
    </row>
    <row r="179" spans="10:11" x14ac:dyDescent="0.3">
      <c r="J179" s="1">
        <v>45748</v>
      </c>
      <c r="K179" s="122">
        <v>1250</v>
      </c>
    </row>
    <row r="180" spans="10:11" x14ac:dyDescent="0.3">
      <c r="J180" s="1">
        <v>45778</v>
      </c>
      <c r="K180" s="122">
        <v>1250</v>
      </c>
    </row>
    <row r="181" spans="10:11" x14ac:dyDescent="0.3">
      <c r="J181" s="1">
        <v>45809</v>
      </c>
      <c r="K181" s="122">
        <v>1250</v>
      </c>
    </row>
    <row r="182" spans="10:11" x14ac:dyDescent="0.3">
      <c r="J182" s="1">
        <v>45839</v>
      </c>
      <c r="K182" s="122">
        <v>1250</v>
      </c>
    </row>
    <row r="183" spans="10:11" x14ac:dyDescent="0.3">
      <c r="J183" s="1">
        <v>45870</v>
      </c>
      <c r="K183" s="122">
        <v>1250</v>
      </c>
    </row>
    <row r="184" spans="10:11" x14ac:dyDescent="0.3">
      <c r="J184" s="1">
        <v>45901</v>
      </c>
      <c r="K184" s="122">
        <v>1250</v>
      </c>
    </row>
    <row r="185" spans="10:11" x14ac:dyDescent="0.3">
      <c r="J185" s="1">
        <v>45931</v>
      </c>
      <c r="K185" s="122">
        <v>1250</v>
      </c>
    </row>
    <row r="186" spans="10:11" x14ac:dyDescent="0.3">
      <c r="J186" s="1">
        <v>45962</v>
      </c>
      <c r="K186" s="122">
        <v>1250</v>
      </c>
    </row>
    <row r="187" spans="10:11" x14ac:dyDescent="0.3">
      <c r="J187" s="1">
        <v>45992</v>
      </c>
      <c r="K187" s="122">
        <v>1250</v>
      </c>
    </row>
    <row r="188" spans="10:11" x14ac:dyDescent="0.3">
      <c r="J188" s="1">
        <v>46023</v>
      </c>
      <c r="K188" s="122">
        <v>1250</v>
      </c>
    </row>
    <row r="189" spans="10:11" x14ac:dyDescent="0.3">
      <c r="J189" s="1">
        <v>46054</v>
      </c>
      <c r="K189" s="122">
        <v>1250</v>
      </c>
    </row>
    <row r="190" spans="10:11" x14ac:dyDescent="0.3">
      <c r="J190" s="1">
        <v>46082</v>
      </c>
      <c r="K190" s="122">
        <v>1250</v>
      </c>
    </row>
    <row r="192" spans="10:11" x14ac:dyDescent="0.3">
      <c r="K192">
        <f>SUM(K2:K191)</f>
        <v>200091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84CB-2DFA-4E8E-A6D3-5771AEE67F6E}">
  <dimension ref="A1:AE172"/>
  <sheetViews>
    <sheetView topLeftCell="A52" zoomScaleNormal="100" workbookViewId="0">
      <selection activeCell="H53" sqref="H53:I53"/>
    </sheetView>
  </sheetViews>
  <sheetFormatPr defaultRowHeight="14.4" x14ac:dyDescent="0.3"/>
  <cols>
    <col min="1" max="1" width="11.33203125" customWidth="1"/>
    <col min="8" max="8" width="8" bestFit="1" customWidth="1"/>
    <col min="11" max="11" width="12" bestFit="1" customWidth="1"/>
    <col min="12" max="12" width="9.88671875" bestFit="1" customWidth="1"/>
    <col min="13" max="13" width="9.6640625" bestFit="1" customWidth="1"/>
  </cols>
  <sheetData>
    <row r="1" spans="1:31" x14ac:dyDescent="0.3">
      <c r="A1" s="24" t="s">
        <v>6</v>
      </c>
      <c r="B1">
        <v>2640218</v>
      </c>
      <c r="C1" s="230" t="s">
        <v>526</v>
      </c>
      <c r="D1" s="227"/>
      <c r="E1" s="227"/>
      <c r="F1" s="227"/>
      <c r="V1" s="1">
        <v>40360</v>
      </c>
      <c r="W1">
        <v>38333</v>
      </c>
      <c r="X1">
        <v>1844</v>
      </c>
      <c r="Z1">
        <v>2640218</v>
      </c>
      <c r="AA1">
        <v>3631920</v>
      </c>
      <c r="AC1">
        <v>8.15</v>
      </c>
    </row>
    <row r="2" spans="1:31" x14ac:dyDescent="0.3">
      <c r="A2" s="118" t="s">
        <v>247</v>
      </c>
      <c r="B2">
        <v>512265</v>
      </c>
      <c r="C2" s="230" t="s">
        <v>526</v>
      </c>
      <c r="D2" s="227"/>
      <c r="E2" s="227"/>
      <c r="F2" s="227"/>
      <c r="M2">
        <v>2432138</v>
      </c>
      <c r="P2" s="15"/>
      <c r="V2" s="1">
        <v>40391</v>
      </c>
      <c r="W2">
        <v>38333</v>
      </c>
      <c r="X2">
        <v>1844</v>
      </c>
      <c r="Z2">
        <v>512265</v>
      </c>
    </row>
    <row r="3" spans="1:31" x14ac:dyDescent="0.3">
      <c r="A3" s="119" t="s">
        <v>844</v>
      </c>
      <c r="B3" s="119" t="s">
        <v>6</v>
      </c>
      <c r="C3" s="119" t="s">
        <v>525</v>
      </c>
      <c r="D3" s="119" t="s">
        <v>8</v>
      </c>
      <c r="E3" s="119" t="s">
        <v>22</v>
      </c>
      <c r="F3" s="119" t="s">
        <v>265</v>
      </c>
      <c r="H3" s="127" t="s">
        <v>6</v>
      </c>
      <c r="I3" s="127" t="s">
        <v>247</v>
      </c>
      <c r="P3" s="15"/>
      <c r="S3" t="s">
        <v>570</v>
      </c>
      <c r="V3" s="1">
        <v>40422</v>
      </c>
      <c r="W3">
        <v>38333</v>
      </c>
      <c r="X3">
        <v>1844</v>
      </c>
      <c r="Z3" s="119" t="s">
        <v>844</v>
      </c>
      <c r="AA3" s="119" t="s">
        <v>6</v>
      </c>
      <c r="AB3" s="119" t="s">
        <v>525</v>
      </c>
      <c r="AC3" s="119" t="s">
        <v>265</v>
      </c>
      <c r="AD3" s="119" t="s">
        <v>907</v>
      </c>
    </row>
    <row r="4" spans="1:31" x14ac:dyDescent="0.3">
      <c r="A4" s="1">
        <v>44652</v>
      </c>
      <c r="B4" s="3">
        <v>9729</v>
      </c>
      <c r="C4" s="3">
        <v>8479</v>
      </c>
      <c r="D4">
        <v>1250</v>
      </c>
      <c r="E4">
        <v>3900</v>
      </c>
      <c r="F4" s="3">
        <v>2619</v>
      </c>
      <c r="H4">
        <f>SUM(B1,B4,C4)</f>
        <v>2658426</v>
      </c>
      <c r="I4">
        <f>SUM(B2,F4)</f>
        <v>514884</v>
      </c>
      <c r="K4">
        <v>3.1</v>
      </c>
      <c r="L4">
        <f>SUM(B4:C4,E4:F4)</f>
        <v>24727</v>
      </c>
      <c r="O4">
        <v>20827</v>
      </c>
      <c r="Q4">
        <v>202679</v>
      </c>
      <c r="S4" t="s">
        <v>571</v>
      </c>
      <c r="V4" s="1">
        <v>40452</v>
      </c>
      <c r="W4">
        <v>38333</v>
      </c>
      <c r="X4">
        <v>1844</v>
      </c>
      <c r="Z4" s="1">
        <v>45017</v>
      </c>
      <c r="AA4" s="3">
        <v>10701</v>
      </c>
      <c r="AB4" s="3">
        <v>9451</v>
      </c>
      <c r="AC4" s="3">
        <v>2880</v>
      </c>
      <c r="AD4">
        <f>SUM(AA4:AC4,AA1)</f>
        <v>3654952</v>
      </c>
      <c r="AE4">
        <f>(8.15*AA1)/1200</f>
        <v>24666.79</v>
      </c>
    </row>
    <row r="5" spans="1:31" x14ac:dyDescent="0.3">
      <c r="A5" s="1">
        <v>44682</v>
      </c>
      <c r="B5" s="3">
        <v>9729</v>
      </c>
      <c r="C5" s="3">
        <v>8479</v>
      </c>
      <c r="D5">
        <v>1250</v>
      </c>
      <c r="E5">
        <v>3900</v>
      </c>
      <c r="F5" s="3">
        <v>2619</v>
      </c>
      <c r="H5">
        <f>SUM(H4,B5,C5)</f>
        <v>2676634</v>
      </c>
      <c r="I5">
        <f t="shared" ref="I5:I14" si="0">SUM(I4,F5)</f>
        <v>517503</v>
      </c>
      <c r="K5">
        <v>3.4</v>
      </c>
      <c r="L5">
        <v>143187</v>
      </c>
      <c r="O5">
        <v>155992</v>
      </c>
      <c r="Q5">
        <v>-28980</v>
      </c>
      <c r="S5" t="s">
        <v>572</v>
      </c>
      <c r="T5" t="s">
        <v>583</v>
      </c>
      <c r="V5" s="1">
        <v>40483</v>
      </c>
      <c r="W5">
        <v>38333</v>
      </c>
      <c r="X5">
        <v>1844</v>
      </c>
      <c r="Z5" s="1">
        <v>45047</v>
      </c>
      <c r="AA5" s="3">
        <v>10701</v>
      </c>
      <c r="AB5" s="3">
        <v>9451</v>
      </c>
      <c r="AC5" s="3">
        <v>669</v>
      </c>
      <c r="AD5">
        <f>SUM(AA5:AC5,AD4)</f>
        <v>3675773</v>
      </c>
      <c r="AE5">
        <f t="shared" ref="AE5:AE15" si="1">(8.15*AD4)/1200</f>
        <v>24823.215666666667</v>
      </c>
    </row>
    <row r="6" spans="1:31" x14ac:dyDescent="0.3">
      <c r="A6" s="1">
        <v>44713</v>
      </c>
      <c r="B6" s="3">
        <v>9729</v>
      </c>
      <c r="C6" s="3">
        <v>8479</v>
      </c>
      <c r="D6">
        <v>1250</v>
      </c>
      <c r="E6">
        <v>3900</v>
      </c>
      <c r="F6" s="3">
        <v>2619</v>
      </c>
      <c r="H6">
        <f>SUM(H5,B6,C6)</f>
        <v>2694842</v>
      </c>
      <c r="I6">
        <f t="shared" si="0"/>
        <v>520122</v>
      </c>
      <c r="K6">
        <v>3.7</v>
      </c>
      <c r="L6">
        <v>2200</v>
      </c>
      <c r="O6">
        <f>SUM(O4:O5)</f>
        <v>176819</v>
      </c>
      <c r="P6" s="51"/>
      <c r="Q6">
        <f>SUM(Q4:Q5)</f>
        <v>173699</v>
      </c>
      <c r="S6" t="s">
        <v>322</v>
      </c>
      <c r="T6" t="s">
        <v>584</v>
      </c>
      <c r="U6" t="s">
        <v>582</v>
      </c>
      <c r="V6" s="1">
        <v>40513</v>
      </c>
      <c r="W6">
        <v>38333</v>
      </c>
      <c r="X6">
        <v>1844</v>
      </c>
      <c r="Z6" s="1">
        <v>45078</v>
      </c>
      <c r="AA6" s="3">
        <v>10701</v>
      </c>
      <c r="AB6" s="3">
        <v>9451</v>
      </c>
      <c r="AC6" s="3">
        <v>669</v>
      </c>
      <c r="AD6">
        <f>SUM(AA6:AC6,AD5)</f>
        <v>3696594</v>
      </c>
      <c r="AE6">
        <f t="shared" si="1"/>
        <v>24964.624958333337</v>
      </c>
    </row>
    <row r="7" spans="1:31" x14ac:dyDescent="0.3">
      <c r="A7" s="1">
        <v>44743</v>
      </c>
      <c r="B7" s="3">
        <v>9729</v>
      </c>
      <c r="C7" s="3">
        <v>8479</v>
      </c>
      <c r="D7">
        <v>1250</v>
      </c>
      <c r="E7">
        <v>3900</v>
      </c>
      <c r="F7" s="3">
        <v>2619</v>
      </c>
      <c r="H7">
        <f>SUM(H6,B7,C7)</f>
        <v>2713050</v>
      </c>
      <c r="I7">
        <f t="shared" si="0"/>
        <v>522741</v>
      </c>
      <c r="L7">
        <f>SUM(L4:L6)</f>
        <v>170114</v>
      </c>
      <c r="O7">
        <f>2600000/O6</f>
        <v>14.704302139475962</v>
      </c>
      <c r="P7" s="51"/>
      <c r="S7" t="s">
        <v>573</v>
      </c>
      <c r="T7" t="s">
        <v>580</v>
      </c>
      <c r="U7" t="s">
        <v>581</v>
      </c>
      <c r="V7" s="1">
        <v>40544</v>
      </c>
      <c r="W7">
        <v>38333</v>
      </c>
      <c r="X7">
        <v>1844</v>
      </c>
      <c r="Z7" s="1">
        <v>45108</v>
      </c>
      <c r="AA7" s="3">
        <v>10701</v>
      </c>
      <c r="AB7" s="3">
        <v>9451</v>
      </c>
      <c r="AC7" s="3">
        <v>669</v>
      </c>
      <c r="AD7">
        <f>SUM(AA7:AC7,AD6)</f>
        <v>3717415</v>
      </c>
      <c r="AE7">
        <f t="shared" si="1"/>
        <v>25106.034250000001</v>
      </c>
    </row>
    <row r="8" spans="1:31" x14ac:dyDescent="0.3">
      <c r="A8" s="1">
        <v>44774</v>
      </c>
      <c r="B8" s="3">
        <v>9729</v>
      </c>
      <c r="C8" s="3">
        <v>8479</v>
      </c>
      <c r="D8">
        <v>1250</v>
      </c>
      <c r="E8">
        <v>3900</v>
      </c>
      <c r="F8" s="3">
        <v>2619</v>
      </c>
      <c r="H8">
        <f>SUM(H7,B8,C8)</f>
        <v>2731258</v>
      </c>
      <c r="I8">
        <f t="shared" si="0"/>
        <v>525360</v>
      </c>
      <c r="L8">
        <v>16500</v>
      </c>
      <c r="O8" s="1"/>
      <c r="S8" t="s">
        <v>574</v>
      </c>
      <c r="V8" s="1">
        <v>40575</v>
      </c>
      <c r="W8">
        <v>38333</v>
      </c>
      <c r="X8">
        <v>1844</v>
      </c>
      <c r="Z8" s="1">
        <v>45139</v>
      </c>
      <c r="AA8" s="3">
        <v>10701</v>
      </c>
      <c r="AB8" s="3">
        <v>9451</v>
      </c>
      <c r="AC8" s="3">
        <v>669</v>
      </c>
      <c r="AD8">
        <f t="shared" ref="AD8:AD15" si="2">SUM(AA8:AC8,AD7)</f>
        <v>3738236</v>
      </c>
      <c r="AE8">
        <f t="shared" si="1"/>
        <v>25247.443541666667</v>
      </c>
    </row>
    <row r="9" spans="1:31" x14ac:dyDescent="0.3">
      <c r="A9" s="1">
        <v>44805</v>
      </c>
      <c r="B9" s="3">
        <v>9729</v>
      </c>
      <c r="C9" s="3">
        <v>8479</v>
      </c>
      <c r="D9">
        <v>1250</v>
      </c>
      <c r="E9">
        <v>3900</v>
      </c>
      <c r="F9" s="3">
        <v>2619</v>
      </c>
      <c r="H9">
        <f>SUM(H8,B9,C9)</f>
        <v>2749466</v>
      </c>
      <c r="I9">
        <f t="shared" si="0"/>
        <v>527979</v>
      </c>
      <c r="L9">
        <f>SUM(L7:L8)</f>
        <v>186614</v>
      </c>
      <c r="M9">
        <f>L9*12</f>
        <v>2239368</v>
      </c>
      <c r="O9" s="1"/>
      <c r="P9" s="51"/>
      <c r="S9" t="s">
        <v>575</v>
      </c>
      <c r="T9" t="s">
        <v>420</v>
      </c>
      <c r="V9" s="1">
        <v>40603</v>
      </c>
      <c r="W9">
        <v>38333</v>
      </c>
      <c r="X9">
        <v>1844</v>
      </c>
      <c r="Z9" s="1">
        <v>45170</v>
      </c>
      <c r="AA9" s="3">
        <v>10701</v>
      </c>
      <c r="AB9" s="3">
        <v>9451</v>
      </c>
      <c r="AC9" s="3">
        <v>669</v>
      </c>
      <c r="AD9">
        <f t="shared" si="2"/>
        <v>3759057</v>
      </c>
      <c r="AE9">
        <f t="shared" si="1"/>
        <v>25388.852833333334</v>
      </c>
    </row>
    <row r="10" spans="1:31" x14ac:dyDescent="0.3">
      <c r="A10" s="1">
        <v>44835</v>
      </c>
      <c r="B10" s="3">
        <v>9729</v>
      </c>
      <c r="C10" s="3">
        <v>8479</v>
      </c>
      <c r="D10">
        <v>1250</v>
      </c>
      <c r="E10">
        <v>3900</v>
      </c>
      <c r="F10" s="3">
        <v>2619</v>
      </c>
      <c r="H10">
        <f>H9+B10+C10</f>
        <v>2767674</v>
      </c>
      <c r="I10">
        <f t="shared" si="0"/>
        <v>530598</v>
      </c>
      <c r="O10" s="1"/>
      <c r="P10" s="51">
        <f>SUM(P11:P20)</f>
        <v>172450</v>
      </c>
      <c r="S10" t="s">
        <v>576</v>
      </c>
      <c r="V10" s="1">
        <v>40634</v>
      </c>
      <c r="W10">
        <v>38333</v>
      </c>
      <c r="X10">
        <v>1844</v>
      </c>
      <c r="Z10" s="1">
        <v>45200</v>
      </c>
      <c r="AA10" s="3">
        <v>10701</v>
      </c>
      <c r="AB10" s="3">
        <v>9451</v>
      </c>
      <c r="AC10" s="3">
        <v>669</v>
      </c>
      <c r="AD10">
        <f t="shared" si="2"/>
        <v>3779878</v>
      </c>
      <c r="AE10">
        <f t="shared" si="1"/>
        <v>25530.262125000001</v>
      </c>
    </row>
    <row r="11" spans="1:31" x14ac:dyDescent="0.3">
      <c r="A11" s="1">
        <v>44866</v>
      </c>
      <c r="B11" s="3">
        <v>9729</v>
      </c>
      <c r="C11" s="3">
        <v>8479</v>
      </c>
      <c r="D11">
        <v>1250</v>
      </c>
      <c r="E11">
        <v>3900</v>
      </c>
      <c r="F11" s="3">
        <v>2619</v>
      </c>
      <c r="H11">
        <f t="shared" ref="H11:H13" si="3">SUM(H10,B11,C11)</f>
        <v>2785882</v>
      </c>
      <c r="I11">
        <f t="shared" si="0"/>
        <v>533217</v>
      </c>
      <c r="N11" s="4" t="s">
        <v>112</v>
      </c>
      <c r="O11" s="114" t="s">
        <v>1092</v>
      </c>
      <c r="P11">
        <v>145523</v>
      </c>
      <c r="S11" t="s">
        <v>285</v>
      </c>
      <c r="V11" s="1">
        <v>40664</v>
      </c>
      <c r="W11">
        <v>38333</v>
      </c>
      <c r="X11">
        <v>1844</v>
      </c>
      <c r="Z11" s="1">
        <v>45231</v>
      </c>
      <c r="AA11" s="3">
        <v>10701</v>
      </c>
      <c r="AB11" s="3">
        <v>9451</v>
      </c>
      <c r="AC11" s="3">
        <v>669</v>
      </c>
      <c r="AD11">
        <f t="shared" si="2"/>
        <v>3800699</v>
      </c>
      <c r="AE11">
        <f t="shared" si="1"/>
        <v>25671.671416666668</v>
      </c>
    </row>
    <row r="12" spans="1:31" x14ac:dyDescent="0.3">
      <c r="A12" s="1">
        <v>44896</v>
      </c>
      <c r="B12" s="3">
        <v>9729</v>
      </c>
      <c r="C12" s="3">
        <v>8479</v>
      </c>
      <c r="D12">
        <v>1250</v>
      </c>
      <c r="E12">
        <v>3900</v>
      </c>
      <c r="F12" s="3">
        <v>2619</v>
      </c>
      <c r="H12">
        <f t="shared" si="3"/>
        <v>2804090</v>
      </c>
      <c r="I12">
        <f t="shared" si="0"/>
        <v>535836</v>
      </c>
      <c r="M12" s="231" t="s">
        <v>992</v>
      </c>
      <c r="N12" s="231"/>
      <c r="O12" s="1"/>
      <c r="P12">
        <v>9729</v>
      </c>
      <c r="S12" t="s">
        <v>577</v>
      </c>
      <c r="T12" t="s">
        <v>582</v>
      </c>
      <c r="U12" t="s">
        <v>765</v>
      </c>
      <c r="V12" s="1">
        <v>40695</v>
      </c>
      <c r="W12">
        <v>38333</v>
      </c>
      <c r="X12">
        <v>1844</v>
      </c>
      <c r="Z12" s="1">
        <v>45261</v>
      </c>
      <c r="AA12" s="3">
        <v>10701</v>
      </c>
      <c r="AB12" s="3">
        <v>9451</v>
      </c>
      <c r="AC12" s="3">
        <v>669</v>
      </c>
      <c r="AD12">
        <f t="shared" si="2"/>
        <v>3821520</v>
      </c>
      <c r="AE12">
        <f t="shared" si="1"/>
        <v>25813.080708333335</v>
      </c>
    </row>
    <row r="13" spans="1:31" x14ac:dyDescent="0.3">
      <c r="A13" s="1">
        <v>44927</v>
      </c>
      <c r="B13" s="3">
        <v>10701</v>
      </c>
      <c r="C13" s="3">
        <v>9451</v>
      </c>
      <c r="D13">
        <v>1250</v>
      </c>
      <c r="E13">
        <v>4289</v>
      </c>
      <c r="F13" s="3">
        <v>2880</v>
      </c>
      <c r="H13">
        <f t="shared" si="3"/>
        <v>2824242</v>
      </c>
      <c r="I13">
        <f>SUM(I12,F13)</f>
        <v>538716</v>
      </c>
      <c r="M13" s="25">
        <v>45839</v>
      </c>
      <c r="N13" s="24">
        <v>2473</v>
      </c>
      <c r="O13" s="1"/>
      <c r="P13">
        <v>2619</v>
      </c>
      <c r="S13" t="s">
        <v>578</v>
      </c>
      <c r="V13" s="1">
        <v>40725</v>
      </c>
      <c r="W13">
        <v>38333</v>
      </c>
      <c r="X13">
        <v>1844</v>
      </c>
      <c r="Z13" s="1">
        <v>45292</v>
      </c>
      <c r="AA13" s="3">
        <v>10701</v>
      </c>
      <c r="AB13" s="3">
        <v>9451</v>
      </c>
      <c r="AC13" s="3">
        <v>669</v>
      </c>
      <c r="AD13">
        <f t="shared" si="2"/>
        <v>3842341</v>
      </c>
      <c r="AE13">
        <f t="shared" si="1"/>
        <v>25954.49</v>
      </c>
    </row>
    <row r="14" spans="1:31" x14ac:dyDescent="0.3">
      <c r="A14" s="1">
        <v>44958</v>
      </c>
      <c r="B14" s="3">
        <v>10701</v>
      </c>
      <c r="C14" s="3">
        <v>9451</v>
      </c>
      <c r="D14">
        <v>1250</v>
      </c>
      <c r="E14">
        <v>4289</v>
      </c>
      <c r="F14" s="3">
        <v>2880</v>
      </c>
      <c r="H14">
        <f>SUM(H13,B14,C14)</f>
        <v>2844394</v>
      </c>
      <c r="I14">
        <f t="shared" si="0"/>
        <v>541596</v>
      </c>
      <c r="M14" s="25">
        <v>45931</v>
      </c>
      <c r="N14" s="24">
        <v>2828</v>
      </c>
      <c r="O14" s="1"/>
      <c r="P14">
        <v>9729</v>
      </c>
      <c r="S14" t="s">
        <v>579</v>
      </c>
      <c r="V14" s="1">
        <v>40756</v>
      </c>
      <c r="W14">
        <v>38333</v>
      </c>
      <c r="X14">
        <v>1844</v>
      </c>
      <c r="Z14" s="1">
        <v>45323</v>
      </c>
      <c r="AA14" s="3">
        <v>11665</v>
      </c>
      <c r="AB14" s="3">
        <v>10415</v>
      </c>
      <c r="AC14" s="3">
        <v>729</v>
      </c>
      <c r="AD14">
        <f t="shared" si="2"/>
        <v>3865150</v>
      </c>
      <c r="AE14">
        <f t="shared" si="1"/>
        <v>26095.899291666668</v>
      </c>
    </row>
    <row r="15" spans="1:31" x14ac:dyDescent="0.3">
      <c r="A15" t="s">
        <v>926</v>
      </c>
      <c r="H15">
        <v>245930</v>
      </c>
      <c r="M15" s="25">
        <v>46023</v>
      </c>
      <c r="N15" s="24">
        <v>2275</v>
      </c>
      <c r="O15" s="1"/>
      <c r="P15">
        <v>-1250</v>
      </c>
      <c r="V15" s="1">
        <v>40787</v>
      </c>
      <c r="W15">
        <v>38333</v>
      </c>
      <c r="X15">
        <v>1844</v>
      </c>
      <c r="Z15" s="1">
        <v>45352</v>
      </c>
      <c r="AA15" s="3">
        <v>11665</v>
      </c>
      <c r="AB15" s="3">
        <v>10415</v>
      </c>
      <c r="AC15" s="3">
        <v>729</v>
      </c>
      <c r="AD15">
        <f t="shared" si="2"/>
        <v>3887959</v>
      </c>
      <c r="AE15">
        <f t="shared" si="1"/>
        <v>26250.810416666667</v>
      </c>
    </row>
    <row r="16" spans="1:31" x14ac:dyDescent="0.3">
      <c r="A16" s="1">
        <v>44986</v>
      </c>
      <c r="B16" s="3">
        <v>10701</v>
      </c>
      <c r="C16" s="3">
        <v>9451</v>
      </c>
      <c r="D16">
        <v>1250</v>
      </c>
      <c r="E16">
        <v>4289</v>
      </c>
      <c r="F16" s="3">
        <v>2880</v>
      </c>
      <c r="H16">
        <f>SUM(H14:H15,B16,C16)</f>
        <v>3110476</v>
      </c>
      <c r="I16">
        <f>SUM(I14,F16)</f>
        <v>544476</v>
      </c>
      <c r="K16">
        <f>20152*12</f>
        <v>241824</v>
      </c>
      <c r="M16" s="25">
        <v>46112</v>
      </c>
      <c r="N16" s="24">
        <v>2357</v>
      </c>
      <c r="P16">
        <v>3900</v>
      </c>
      <c r="V16" s="1">
        <v>40817</v>
      </c>
      <c r="W16">
        <v>38333</v>
      </c>
      <c r="X16">
        <v>1844</v>
      </c>
      <c r="AD16" s="4"/>
      <c r="AE16" s="4">
        <f>SUM(AE4:AE15)</f>
        <v>305513.17520833336</v>
      </c>
    </row>
    <row r="17" spans="1:30" x14ac:dyDescent="0.3">
      <c r="A17" s="1">
        <v>45017</v>
      </c>
      <c r="B17" s="3">
        <v>10701</v>
      </c>
      <c r="C17" s="3">
        <v>9451</v>
      </c>
      <c r="D17">
        <v>1250</v>
      </c>
      <c r="E17">
        <v>4289</v>
      </c>
      <c r="F17" s="3">
        <v>669</v>
      </c>
      <c r="H17">
        <f t="shared" ref="H17:H27" si="4">SUM(H16,B17,C17)</f>
        <v>3130628</v>
      </c>
      <c r="I17">
        <f t="shared" ref="I17:I27" si="5">SUM(I16,F17)</f>
        <v>545145</v>
      </c>
      <c r="K17">
        <f>669*12</f>
        <v>8028</v>
      </c>
      <c r="M17" s="231" t="s">
        <v>568</v>
      </c>
      <c r="N17" s="231"/>
      <c r="P17">
        <v>2200</v>
      </c>
      <c r="R17">
        <v>365</v>
      </c>
      <c r="S17" t="s">
        <v>599</v>
      </c>
      <c r="V17" s="1">
        <v>40848</v>
      </c>
      <c r="W17">
        <v>38333</v>
      </c>
      <c r="X17">
        <v>1844</v>
      </c>
    </row>
    <row r="18" spans="1:30" x14ac:dyDescent="0.3">
      <c r="A18" s="1">
        <v>45047</v>
      </c>
      <c r="B18" s="3">
        <v>10701</v>
      </c>
      <c r="C18" s="3">
        <v>9451</v>
      </c>
      <c r="D18">
        <v>1250</v>
      </c>
      <c r="E18">
        <v>4289</v>
      </c>
      <c r="F18" s="3">
        <v>669</v>
      </c>
      <c r="H18">
        <f t="shared" si="4"/>
        <v>3150780</v>
      </c>
      <c r="I18">
        <f t="shared" si="5"/>
        <v>545814</v>
      </c>
      <c r="M18" s="25">
        <v>45836</v>
      </c>
      <c r="N18" s="24">
        <v>723</v>
      </c>
      <c r="O18" s="203">
        <v>1660</v>
      </c>
      <c r="S18">
        <v>9</v>
      </c>
      <c r="V18" s="1">
        <v>40878</v>
      </c>
      <c r="W18">
        <v>38333</v>
      </c>
      <c r="X18">
        <v>1844</v>
      </c>
      <c r="AD18" s="4">
        <v>3673696</v>
      </c>
    </row>
    <row r="19" spans="1:30" x14ac:dyDescent="0.3">
      <c r="A19" s="1">
        <v>45078</v>
      </c>
      <c r="B19" s="3">
        <v>10701</v>
      </c>
      <c r="C19" s="3">
        <v>9451</v>
      </c>
      <c r="D19">
        <v>1250</v>
      </c>
      <c r="E19">
        <v>4289</v>
      </c>
      <c r="F19" s="3">
        <v>669</v>
      </c>
      <c r="H19">
        <f t="shared" si="4"/>
        <v>3170932</v>
      </c>
      <c r="I19">
        <f t="shared" si="5"/>
        <v>546483</v>
      </c>
      <c r="K19">
        <f>10701*2</f>
        <v>21402</v>
      </c>
      <c r="M19" s="25">
        <v>45927</v>
      </c>
      <c r="N19" s="24">
        <v>297</v>
      </c>
      <c r="O19" s="203">
        <v>798</v>
      </c>
      <c r="S19">
        <v>20</v>
      </c>
      <c r="V19" s="1">
        <v>40909</v>
      </c>
      <c r="W19">
        <v>38333</v>
      </c>
      <c r="X19">
        <v>1844</v>
      </c>
      <c r="AD19">
        <v>20821</v>
      </c>
    </row>
    <row r="20" spans="1:30" x14ac:dyDescent="0.3">
      <c r="A20" s="1">
        <v>45108</v>
      </c>
      <c r="B20" s="3">
        <v>10701</v>
      </c>
      <c r="C20" s="3">
        <v>9451</v>
      </c>
      <c r="D20">
        <v>1250</v>
      </c>
      <c r="E20">
        <v>4289</v>
      </c>
      <c r="F20" s="3">
        <v>669</v>
      </c>
      <c r="H20">
        <f t="shared" si="4"/>
        <v>3191084</v>
      </c>
      <c r="I20">
        <f t="shared" si="5"/>
        <v>547152</v>
      </c>
      <c r="K20">
        <v>669</v>
      </c>
      <c r="M20" s="25">
        <v>46018</v>
      </c>
      <c r="N20" s="24">
        <v>499</v>
      </c>
      <c r="O20" s="203">
        <v>254</v>
      </c>
      <c r="V20" s="1">
        <v>40940</v>
      </c>
      <c r="W20">
        <v>42167</v>
      </c>
      <c r="X20">
        <v>2028</v>
      </c>
      <c r="AD20">
        <f>SUM(AD18:AD19)</f>
        <v>3694517</v>
      </c>
    </row>
    <row r="21" spans="1:30" x14ac:dyDescent="0.3">
      <c r="A21" s="1">
        <v>45139</v>
      </c>
      <c r="B21" s="3">
        <v>10701</v>
      </c>
      <c r="C21" s="3">
        <v>9451</v>
      </c>
      <c r="D21">
        <v>1250</v>
      </c>
      <c r="E21">
        <v>4289</v>
      </c>
      <c r="F21" s="3">
        <v>669</v>
      </c>
      <c r="H21">
        <f t="shared" si="4"/>
        <v>3211236</v>
      </c>
      <c r="I21">
        <f t="shared" si="5"/>
        <v>547821</v>
      </c>
      <c r="K21">
        <f>SUM(K19:K20)</f>
        <v>22071</v>
      </c>
      <c r="M21" s="25"/>
      <c r="N21" s="24">
        <v>468</v>
      </c>
      <c r="O21" s="216">
        <v>655</v>
      </c>
      <c r="P21">
        <v>162634</v>
      </c>
      <c r="Q21">
        <f>P21*2</f>
        <v>325268</v>
      </c>
      <c r="R21">
        <f>20821*2</f>
        <v>41642</v>
      </c>
      <c r="V21" s="1">
        <v>40969</v>
      </c>
      <c r="W21">
        <v>42167</v>
      </c>
      <c r="X21">
        <v>2028</v>
      </c>
    </row>
    <row r="22" spans="1:30" x14ac:dyDescent="0.3">
      <c r="A22" s="1">
        <v>45170</v>
      </c>
      <c r="B22" s="3">
        <v>10701</v>
      </c>
      <c r="C22" s="3">
        <v>9451</v>
      </c>
      <c r="D22">
        <v>1250</v>
      </c>
      <c r="E22">
        <v>4289</v>
      </c>
      <c r="F22" s="3">
        <v>669</v>
      </c>
      <c r="H22">
        <f t="shared" si="4"/>
        <v>3231388</v>
      </c>
      <c r="I22">
        <f t="shared" si="5"/>
        <v>548490</v>
      </c>
      <c r="K22">
        <v>-1250</v>
      </c>
      <c r="M22" s="15"/>
      <c r="N22" s="30"/>
      <c r="P22">
        <v>20152</v>
      </c>
      <c r="V22" s="1">
        <v>41000</v>
      </c>
      <c r="W22">
        <v>42167</v>
      </c>
      <c r="X22">
        <v>2028</v>
      </c>
    </row>
    <row r="23" spans="1:30" x14ac:dyDescent="0.3">
      <c r="A23" s="1">
        <v>45200</v>
      </c>
      <c r="B23" s="3">
        <v>10701</v>
      </c>
      <c r="C23" s="3">
        <v>9451</v>
      </c>
      <c r="D23">
        <v>1250</v>
      </c>
      <c r="E23">
        <v>4289</v>
      </c>
      <c r="F23" s="3">
        <v>669</v>
      </c>
      <c r="H23">
        <f t="shared" si="4"/>
        <v>3251540</v>
      </c>
      <c r="I23">
        <f t="shared" si="5"/>
        <v>549159</v>
      </c>
      <c r="K23">
        <f>SUM(K21:K22)</f>
        <v>20821</v>
      </c>
      <c r="M23" s="231" t="s">
        <v>569</v>
      </c>
      <c r="N23" s="231"/>
      <c r="P23">
        <v>669</v>
      </c>
      <c r="V23" s="1">
        <v>41030</v>
      </c>
      <c r="W23">
        <v>42167</v>
      </c>
      <c r="X23">
        <v>2028</v>
      </c>
      <c r="Z23">
        <v>375912</v>
      </c>
      <c r="AB23" t="s">
        <v>113</v>
      </c>
      <c r="AC23">
        <v>266924</v>
      </c>
    </row>
    <row r="24" spans="1:30" x14ac:dyDescent="0.3">
      <c r="A24" s="1">
        <v>45231</v>
      </c>
      <c r="B24" s="3">
        <v>10701</v>
      </c>
      <c r="C24" s="3">
        <v>9451</v>
      </c>
      <c r="D24">
        <v>1250</v>
      </c>
      <c r="E24">
        <v>4289</v>
      </c>
      <c r="F24" s="3">
        <v>669</v>
      </c>
      <c r="H24">
        <f t="shared" si="4"/>
        <v>3271692</v>
      </c>
      <c r="I24">
        <f t="shared" si="5"/>
        <v>549828</v>
      </c>
      <c r="M24" s="25">
        <v>45565</v>
      </c>
      <c r="N24" s="24">
        <v>674</v>
      </c>
      <c r="P24">
        <v>16300</v>
      </c>
      <c r="R24">
        <f>29/6</f>
        <v>4.833333333333333</v>
      </c>
      <c r="S24">
        <v>155000</v>
      </c>
      <c r="V24" s="1">
        <v>41061</v>
      </c>
      <c r="W24">
        <v>42167</v>
      </c>
      <c r="X24">
        <v>2028</v>
      </c>
      <c r="Z24">
        <v>16470</v>
      </c>
      <c r="AB24" t="s">
        <v>27</v>
      </c>
      <c r="AC24">
        <v>113051</v>
      </c>
    </row>
    <row r="25" spans="1:30" x14ac:dyDescent="0.3">
      <c r="A25" s="1">
        <v>45261</v>
      </c>
      <c r="B25" s="3">
        <v>10701</v>
      </c>
      <c r="C25" s="3">
        <v>9451</v>
      </c>
      <c r="D25">
        <v>1250</v>
      </c>
      <c r="E25">
        <v>4289</v>
      </c>
      <c r="F25" s="3">
        <v>669</v>
      </c>
      <c r="H25">
        <f t="shared" si="4"/>
        <v>3291844</v>
      </c>
      <c r="I25">
        <f t="shared" si="5"/>
        <v>550497</v>
      </c>
      <c r="M25" s="25">
        <v>45747</v>
      </c>
      <c r="N25" s="24">
        <v>350</v>
      </c>
      <c r="P25">
        <v>2200</v>
      </c>
      <c r="S25">
        <v>23032</v>
      </c>
      <c r="V25" s="1">
        <v>41091</v>
      </c>
      <c r="W25">
        <v>42167</v>
      </c>
      <c r="X25">
        <v>2028</v>
      </c>
      <c r="Z25">
        <f>SUM(Z23:Z24)</f>
        <v>392382</v>
      </c>
      <c r="AC25">
        <v>1806536</v>
      </c>
    </row>
    <row r="26" spans="1:30" x14ac:dyDescent="0.3">
      <c r="A26" s="1">
        <v>45292</v>
      </c>
      <c r="B26" s="3">
        <v>11665</v>
      </c>
      <c r="C26" s="3">
        <v>10415</v>
      </c>
      <c r="D26">
        <v>1250</v>
      </c>
      <c r="E26">
        <v>4675</v>
      </c>
      <c r="F26" s="3">
        <v>729</v>
      </c>
      <c r="H26">
        <f t="shared" si="4"/>
        <v>3313924</v>
      </c>
      <c r="I26">
        <f t="shared" si="5"/>
        <v>551226</v>
      </c>
      <c r="M26" s="177" t="s">
        <v>23</v>
      </c>
      <c r="N26" s="177"/>
      <c r="S26">
        <v>16300</v>
      </c>
      <c r="V26" s="1">
        <v>41122</v>
      </c>
      <c r="W26">
        <v>42167</v>
      </c>
      <c r="X26">
        <v>2028</v>
      </c>
      <c r="Z26">
        <f>SUM(AC23:AC24)</f>
        <v>379975</v>
      </c>
      <c r="AB26" t="s">
        <v>113</v>
      </c>
      <c r="AC26">
        <v>119664</v>
      </c>
    </row>
    <row r="27" spans="1:30" x14ac:dyDescent="0.3">
      <c r="A27" s="1">
        <v>45323</v>
      </c>
      <c r="B27" s="3">
        <v>11665</v>
      </c>
      <c r="C27" s="3">
        <v>10415</v>
      </c>
      <c r="D27">
        <v>1250</v>
      </c>
      <c r="E27">
        <v>4675</v>
      </c>
      <c r="F27" s="3">
        <v>729</v>
      </c>
      <c r="H27">
        <f t="shared" si="4"/>
        <v>3336004</v>
      </c>
      <c r="I27">
        <f t="shared" si="5"/>
        <v>551955</v>
      </c>
      <c r="K27">
        <f>SUM(H27:I27)</f>
        <v>3887959</v>
      </c>
      <c r="M27" s="25">
        <v>45468</v>
      </c>
      <c r="N27">
        <v>180</v>
      </c>
      <c r="Q27">
        <v>81071</v>
      </c>
      <c r="R27">
        <f>Q27*0.4</f>
        <v>32428.400000000001</v>
      </c>
      <c r="S27">
        <v>2200</v>
      </c>
      <c r="V27" s="1">
        <v>41153</v>
      </c>
      <c r="W27">
        <v>42167</v>
      </c>
      <c r="X27">
        <v>2028</v>
      </c>
      <c r="Z27">
        <f>Z25-Z26</f>
        <v>12407</v>
      </c>
      <c r="AA27" s="51"/>
      <c r="AC27">
        <v>32211</v>
      </c>
    </row>
    <row r="28" spans="1:30" x14ac:dyDescent="0.3">
      <c r="A28" t="s">
        <v>953</v>
      </c>
      <c r="H28">
        <v>0</v>
      </c>
      <c r="K28">
        <f>K27*0.0825</f>
        <v>320756.61749999999</v>
      </c>
      <c r="M28" s="25">
        <v>45560</v>
      </c>
      <c r="N28" s="24">
        <v>128</v>
      </c>
      <c r="R28">
        <f>Q27*0.5</f>
        <v>40535.5</v>
      </c>
      <c r="S28">
        <f>SUM(S24:S27)</f>
        <v>196532</v>
      </c>
      <c r="V28" s="1">
        <v>41183</v>
      </c>
      <c r="W28">
        <v>42167</v>
      </c>
      <c r="X28">
        <v>2028</v>
      </c>
      <c r="AC28">
        <v>-15000</v>
      </c>
    </row>
    <row r="29" spans="1:30" x14ac:dyDescent="0.3">
      <c r="A29" s="1">
        <v>45352</v>
      </c>
      <c r="B29" s="3">
        <v>11665</v>
      </c>
      <c r="C29" s="3">
        <v>10415</v>
      </c>
      <c r="D29">
        <v>1250</v>
      </c>
      <c r="E29">
        <v>4675</v>
      </c>
      <c r="F29" s="3">
        <v>729</v>
      </c>
      <c r="H29">
        <f>SUM(H27,B29,C29)</f>
        <v>3358084</v>
      </c>
      <c r="I29">
        <f>SUM(I27,F29)</f>
        <v>552684</v>
      </c>
      <c r="M29" s="25">
        <v>45651</v>
      </c>
      <c r="N29" s="24">
        <v>712</v>
      </c>
      <c r="R29" s="132"/>
      <c r="V29" s="1">
        <v>41214</v>
      </c>
      <c r="W29">
        <v>42167</v>
      </c>
      <c r="X29">
        <v>2028</v>
      </c>
      <c r="AC29">
        <v>119664</v>
      </c>
    </row>
    <row r="30" spans="1:30" x14ac:dyDescent="0.3">
      <c r="A30" s="1">
        <v>45383</v>
      </c>
      <c r="B30" s="3">
        <v>11665</v>
      </c>
      <c r="C30" s="3">
        <v>10415</v>
      </c>
      <c r="D30">
        <v>1250</v>
      </c>
      <c r="E30">
        <v>4675</v>
      </c>
      <c r="F30">
        <v>0</v>
      </c>
      <c r="H30">
        <f t="shared" ref="H30:H55" si="6">SUM(H29,B30,C30)</f>
        <v>3380164</v>
      </c>
      <c r="I30">
        <f>SUM(I29,F30)</f>
        <v>552684</v>
      </c>
      <c r="M30" s="25">
        <v>45741</v>
      </c>
      <c r="N30" s="24">
        <v>198</v>
      </c>
      <c r="V30" s="1">
        <v>41244</v>
      </c>
      <c r="W30">
        <v>42167</v>
      </c>
      <c r="X30">
        <v>2028</v>
      </c>
      <c r="AC30">
        <f>2200*12</f>
        <v>26400</v>
      </c>
    </row>
    <row r="31" spans="1:30" x14ac:dyDescent="0.3">
      <c r="A31" s="1">
        <v>45413</v>
      </c>
      <c r="B31" s="3">
        <v>11665</v>
      </c>
      <c r="C31" s="3">
        <v>10415</v>
      </c>
      <c r="D31">
        <v>1250</v>
      </c>
      <c r="E31">
        <v>4675</v>
      </c>
      <c r="F31">
        <v>0</v>
      </c>
      <c r="H31">
        <f t="shared" si="6"/>
        <v>3402244</v>
      </c>
      <c r="I31">
        <f>SUM(I30,F31)</f>
        <v>552684</v>
      </c>
      <c r="N31">
        <f>SUM(N13:N16,N18:N21,N24:N25,N27:N30)</f>
        <v>14162</v>
      </c>
      <c r="Q31">
        <v>28979</v>
      </c>
      <c r="R31">
        <f>Q31*12</f>
        <v>347748</v>
      </c>
      <c r="V31" s="1">
        <v>41275</v>
      </c>
      <c r="W31">
        <v>42167</v>
      </c>
      <c r="X31">
        <v>2028</v>
      </c>
      <c r="AC31">
        <f>SUM(AC23:AC30)</f>
        <v>2469450</v>
      </c>
    </row>
    <row r="32" spans="1:30" x14ac:dyDescent="0.3">
      <c r="A32" s="1">
        <v>45444</v>
      </c>
      <c r="B32" s="3">
        <v>11665</v>
      </c>
      <c r="C32" s="3">
        <v>10415</v>
      </c>
      <c r="D32">
        <v>1250</v>
      </c>
      <c r="E32">
        <v>4675</v>
      </c>
      <c r="F32">
        <v>0</v>
      </c>
      <c r="H32">
        <f t="shared" si="6"/>
        <v>3424324</v>
      </c>
      <c r="I32">
        <f>SUM(I31,F32)</f>
        <v>552684</v>
      </c>
      <c r="V32" s="1">
        <v>41306</v>
      </c>
      <c r="W32">
        <v>44275</v>
      </c>
      <c r="X32">
        <v>2130</v>
      </c>
    </row>
    <row r="33" spans="1:24" x14ac:dyDescent="0.3">
      <c r="A33" s="1">
        <v>45474</v>
      </c>
      <c r="B33" s="3">
        <v>11665</v>
      </c>
      <c r="C33" s="3">
        <v>10415</v>
      </c>
      <c r="D33">
        <v>1250</v>
      </c>
      <c r="E33">
        <v>4675</v>
      </c>
      <c r="F33">
        <v>0</v>
      </c>
      <c r="H33">
        <f t="shared" si="6"/>
        <v>3446404</v>
      </c>
      <c r="I33">
        <f>SUM(I31,F33)</f>
        <v>552684</v>
      </c>
      <c r="M33" s="51" t="s">
        <v>937</v>
      </c>
      <c r="N33" s="51"/>
      <c r="O33" s="51" t="s">
        <v>938</v>
      </c>
      <c r="P33" s="151">
        <v>45300</v>
      </c>
      <c r="V33" s="1">
        <v>41334</v>
      </c>
      <c r="W33">
        <v>44275</v>
      </c>
      <c r="X33">
        <v>2130</v>
      </c>
    </row>
    <row r="34" spans="1:24" x14ac:dyDescent="0.3">
      <c r="A34" s="1">
        <v>45505</v>
      </c>
      <c r="B34" s="3">
        <v>11665</v>
      </c>
      <c r="C34" s="3">
        <v>10415</v>
      </c>
      <c r="D34">
        <v>1250</v>
      </c>
      <c r="E34">
        <v>4675</v>
      </c>
      <c r="F34">
        <v>0</v>
      </c>
      <c r="H34">
        <f t="shared" si="6"/>
        <v>3468484</v>
      </c>
      <c r="I34">
        <f>SUM(I33,F34)</f>
        <v>552684</v>
      </c>
      <c r="V34" s="1">
        <v>41365</v>
      </c>
      <c r="W34">
        <v>44275</v>
      </c>
      <c r="X34">
        <v>2130</v>
      </c>
    </row>
    <row r="35" spans="1:24" x14ac:dyDescent="0.3">
      <c r="A35" s="1">
        <v>45536</v>
      </c>
      <c r="B35" s="3">
        <v>11665</v>
      </c>
      <c r="C35" s="3">
        <v>10415</v>
      </c>
      <c r="D35">
        <v>1250</v>
      </c>
      <c r="E35">
        <v>4675</v>
      </c>
      <c r="F35">
        <v>0</v>
      </c>
      <c r="H35">
        <f t="shared" si="6"/>
        <v>3490564</v>
      </c>
      <c r="I35">
        <f>SUM(I33,F35)</f>
        <v>552684</v>
      </c>
      <c r="M35">
        <f>SUM(O18:O20)</f>
        <v>2712</v>
      </c>
      <c r="V35" s="1">
        <v>41395</v>
      </c>
      <c r="W35">
        <v>44275</v>
      </c>
      <c r="X35">
        <v>2130</v>
      </c>
    </row>
    <row r="36" spans="1:24" x14ac:dyDescent="0.3">
      <c r="A36" s="1">
        <v>45566</v>
      </c>
      <c r="B36" s="3">
        <v>11665</v>
      </c>
      <c r="C36" s="3">
        <v>10415</v>
      </c>
      <c r="D36">
        <v>1250</v>
      </c>
      <c r="E36">
        <v>4675</v>
      </c>
      <c r="F36">
        <v>0</v>
      </c>
      <c r="H36">
        <f t="shared" si="6"/>
        <v>3512644</v>
      </c>
      <c r="I36">
        <f>SUM(I35,F36)</f>
        <v>552684</v>
      </c>
      <c r="L36" s="4" t="s">
        <v>1092</v>
      </c>
      <c r="M36" s="4" t="s">
        <v>1132</v>
      </c>
      <c r="V36" s="1">
        <v>41426</v>
      </c>
      <c r="W36">
        <v>44275</v>
      </c>
      <c r="X36">
        <v>2130</v>
      </c>
    </row>
    <row r="37" spans="1:24" x14ac:dyDescent="0.3">
      <c r="A37" s="1">
        <v>45597</v>
      </c>
      <c r="B37" s="3">
        <v>11665</v>
      </c>
      <c r="C37" s="3">
        <v>10415</v>
      </c>
      <c r="D37">
        <v>1250</v>
      </c>
      <c r="E37">
        <v>4675</v>
      </c>
      <c r="F37">
        <v>0</v>
      </c>
      <c r="H37">
        <f t="shared" si="6"/>
        <v>3534724</v>
      </c>
      <c r="I37">
        <f>SUM(I36,F37)</f>
        <v>552684</v>
      </c>
      <c r="L37" s="43">
        <v>45788</v>
      </c>
      <c r="M37" s="205">
        <v>884</v>
      </c>
      <c r="Q37" s="38"/>
      <c r="V37" s="1">
        <v>41456</v>
      </c>
      <c r="W37">
        <v>44275</v>
      </c>
      <c r="X37">
        <v>2130</v>
      </c>
    </row>
    <row r="38" spans="1:24" x14ac:dyDescent="0.3">
      <c r="A38" s="1">
        <v>45627</v>
      </c>
      <c r="B38" s="3">
        <v>11665</v>
      </c>
      <c r="C38" s="3">
        <v>10415</v>
      </c>
      <c r="D38">
        <v>1250</v>
      </c>
      <c r="E38">
        <v>4675</v>
      </c>
      <c r="F38">
        <v>0</v>
      </c>
      <c r="H38">
        <f t="shared" si="6"/>
        <v>3556804</v>
      </c>
      <c r="I38">
        <f>SUM(I37,F38)</f>
        <v>552684</v>
      </c>
      <c r="L38" s="43">
        <v>45880</v>
      </c>
      <c r="M38" s="205">
        <v>914</v>
      </c>
      <c r="P38" s="15"/>
      <c r="Q38" s="38"/>
      <c r="V38" s="1">
        <v>41487</v>
      </c>
      <c r="W38">
        <v>44275</v>
      </c>
      <c r="X38">
        <v>2130</v>
      </c>
    </row>
    <row r="39" spans="1:24" x14ac:dyDescent="0.3">
      <c r="A39" s="1">
        <v>45658</v>
      </c>
      <c r="B39" s="3">
        <v>12889</v>
      </c>
      <c r="C39" s="3">
        <v>11639</v>
      </c>
      <c r="D39">
        <v>1250</v>
      </c>
      <c r="E39">
        <v>5166</v>
      </c>
      <c r="F39">
        <v>0</v>
      </c>
      <c r="H39">
        <f t="shared" si="6"/>
        <v>3581332</v>
      </c>
      <c r="I39">
        <v>552684</v>
      </c>
      <c r="L39" s="43">
        <v>45972</v>
      </c>
      <c r="M39" s="205">
        <v>914</v>
      </c>
      <c r="P39" s="15"/>
      <c r="V39" s="1">
        <v>41518</v>
      </c>
      <c r="W39">
        <v>44275</v>
      </c>
      <c r="X39">
        <v>2130</v>
      </c>
    </row>
    <row r="40" spans="1:24" x14ac:dyDescent="0.3">
      <c r="A40" s="1">
        <v>45689</v>
      </c>
      <c r="B40" s="3">
        <v>12889</v>
      </c>
      <c r="C40" s="3">
        <v>11639</v>
      </c>
      <c r="D40">
        <v>1250</v>
      </c>
      <c r="E40">
        <v>5166</v>
      </c>
      <c r="F40">
        <v>0</v>
      </c>
      <c r="H40">
        <f t="shared" si="6"/>
        <v>3605860</v>
      </c>
      <c r="I40">
        <v>552684</v>
      </c>
      <c r="L40" s="43">
        <v>46051</v>
      </c>
      <c r="M40" s="205">
        <v>785</v>
      </c>
      <c r="P40" s="15"/>
      <c r="Q40" s="38"/>
      <c r="V40" s="1">
        <v>41548</v>
      </c>
      <c r="W40">
        <v>44275</v>
      </c>
      <c r="X40">
        <v>2130</v>
      </c>
    </row>
    <row r="41" spans="1:24" x14ac:dyDescent="0.3">
      <c r="A41" s="1">
        <v>45717</v>
      </c>
      <c r="B41" s="3">
        <v>12889</v>
      </c>
      <c r="C41" s="3">
        <v>11639</v>
      </c>
      <c r="D41">
        <v>1250</v>
      </c>
      <c r="E41">
        <v>5166</v>
      </c>
      <c r="F41">
        <v>0</v>
      </c>
      <c r="H41">
        <f t="shared" si="6"/>
        <v>3630388</v>
      </c>
      <c r="I41">
        <v>552684</v>
      </c>
      <c r="K41" t="s">
        <v>1133</v>
      </c>
      <c r="L41" s="15">
        <v>45990</v>
      </c>
      <c r="M41" s="202">
        <v>40000</v>
      </c>
      <c r="P41" s="15"/>
      <c r="Q41" s="38"/>
      <c r="V41" s="1">
        <v>41579</v>
      </c>
      <c r="W41">
        <v>44275</v>
      </c>
      <c r="X41">
        <v>2130</v>
      </c>
    </row>
    <row r="42" spans="1:24" x14ac:dyDescent="0.3">
      <c r="A42" s="1">
        <v>45748</v>
      </c>
      <c r="B42" s="3">
        <v>12889</v>
      </c>
      <c r="C42" s="3">
        <v>11639</v>
      </c>
      <c r="D42">
        <v>1250</v>
      </c>
      <c r="E42">
        <v>5166</v>
      </c>
      <c r="F42">
        <v>0</v>
      </c>
      <c r="H42">
        <f t="shared" si="6"/>
        <v>3654916</v>
      </c>
      <c r="I42">
        <f>SUM(I41,F42)</f>
        <v>552684</v>
      </c>
      <c r="K42" t="s">
        <v>1133</v>
      </c>
      <c r="L42" s="15">
        <v>46002</v>
      </c>
      <c r="M42" s="202">
        <v>30000</v>
      </c>
      <c r="V42" s="1">
        <v>41609</v>
      </c>
      <c r="W42">
        <v>44275</v>
      </c>
      <c r="X42">
        <v>2130</v>
      </c>
    </row>
    <row r="43" spans="1:24" x14ac:dyDescent="0.3">
      <c r="A43" s="1">
        <v>45778</v>
      </c>
      <c r="B43" s="3">
        <v>12889</v>
      </c>
      <c r="C43" s="3">
        <v>11639</v>
      </c>
      <c r="D43">
        <v>1250</v>
      </c>
      <c r="E43">
        <v>5166</v>
      </c>
      <c r="F43">
        <v>0</v>
      </c>
      <c r="H43">
        <f t="shared" si="6"/>
        <v>3679444</v>
      </c>
      <c r="I43">
        <v>552684</v>
      </c>
      <c r="K43" t="s">
        <v>1134</v>
      </c>
      <c r="L43" s="15">
        <v>46002</v>
      </c>
      <c r="M43" s="202">
        <v>20000</v>
      </c>
      <c r="V43" s="1">
        <v>41640</v>
      </c>
      <c r="W43">
        <v>44275</v>
      </c>
      <c r="X43">
        <v>2130</v>
      </c>
    </row>
    <row r="44" spans="1:24" x14ac:dyDescent="0.3">
      <c r="A44" s="1">
        <v>45809</v>
      </c>
      <c r="B44" s="3">
        <v>12889</v>
      </c>
      <c r="C44" s="3">
        <v>11639</v>
      </c>
      <c r="D44">
        <v>1250</v>
      </c>
      <c r="E44">
        <v>5166</v>
      </c>
      <c r="F44">
        <v>0</v>
      </c>
      <c r="H44">
        <f t="shared" si="6"/>
        <v>3703972</v>
      </c>
      <c r="I44">
        <f>SUM(I42,F44)</f>
        <v>552684</v>
      </c>
      <c r="K44" t="s">
        <v>1135</v>
      </c>
      <c r="L44" s="15">
        <v>46002</v>
      </c>
      <c r="M44" s="202">
        <v>49900</v>
      </c>
      <c r="V44" s="1">
        <v>41671</v>
      </c>
      <c r="W44">
        <v>44275</v>
      </c>
      <c r="X44">
        <v>2130</v>
      </c>
    </row>
    <row r="45" spans="1:24" x14ac:dyDescent="0.3">
      <c r="A45" s="1">
        <v>45839</v>
      </c>
      <c r="B45" s="3">
        <v>12889</v>
      </c>
      <c r="C45" s="3">
        <v>11639</v>
      </c>
      <c r="D45">
        <v>1250</v>
      </c>
      <c r="E45">
        <v>5166</v>
      </c>
      <c r="F45">
        <v>0</v>
      </c>
      <c r="H45">
        <f t="shared" si="6"/>
        <v>3728500</v>
      </c>
      <c r="I45">
        <v>552684</v>
      </c>
      <c r="K45" t="s">
        <v>1135</v>
      </c>
      <c r="L45" s="15">
        <v>46007</v>
      </c>
      <c r="M45" s="202">
        <v>49900</v>
      </c>
      <c r="V45" s="1">
        <v>41699</v>
      </c>
      <c r="W45">
        <v>44275</v>
      </c>
      <c r="X45">
        <v>2130</v>
      </c>
    </row>
    <row r="46" spans="1:24" x14ac:dyDescent="0.3">
      <c r="A46" s="1">
        <v>45870</v>
      </c>
      <c r="B46" s="3">
        <v>12889</v>
      </c>
      <c r="C46" s="3">
        <v>11639</v>
      </c>
      <c r="D46">
        <v>1250</v>
      </c>
      <c r="E46">
        <v>5166</v>
      </c>
      <c r="F46">
        <v>0</v>
      </c>
      <c r="H46">
        <f t="shared" si="6"/>
        <v>3753028</v>
      </c>
      <c r="I46">
        <v>552684</v>
      </c>
      <c r="K46" t="s">
        <v>1135</v>
      </c>
      <c r="L46" s="15">
        <v>45669</v>
      </c>
      <c r="M46" s="202">
        <v>49900</v>
      </c>
      <c r="V46" s="1">
        <v>41730</v>
      </c>
      <c r="W46">
        <v>44275</v>
      </c>
      <c r="X46">
        <v>2130</v>
      </c>
    </row>
    <row r="47" spans="1:24" x14ac:dyDescent="0.3">
      <c r="A47" s="1">
        <v>45901</v>
      </c>
      <c r="B47" s="3">
        <v>12889</v>
      </c>
      <c r="C47" s="3">
        <v>11639</v>
      </c>
      <c r="D47">
        <v>1250</v>
      </c>
      <c r="E47">
        <v>5166</v>
      </c>
      <c r="F47">
        <v>0</v>
      </c>
      <c r="H47">
        <f t="shared" si="6"/>
        <v>3777556</v>
      </c>
      <c r="I47">
        <v>552684</v>
      </c>
      <c r="K47" t="s">
        <v>1135</v>
      </c>
      <c r="L47" s="15">
        <v>45673</v>
      </c>
      <c r="M47" s="202">
        <v>49900</v>
      </c>
      <c r="V47" s="1">
        <v>41760</v>
      </c>
      <c r="W47">
        <v>44275</v>
      </c>
      <c r="X47">
        <v>2130</v>
      </c>
    </row>
    <row r="48" spans="1:24" x14ac:dyDescent="0.3">
      <c r="A48" s="1">
        <v>45931</v>
      </c>
      <c r="B48" s="3">
        <v>12889</v>
      </c>
      <c r="C48" s="3">
        <v>11639</v>
      </c>
      <c r="D48">
        <v>1250</v>
      </c>
      <c r="E48">
        <v>5166</v>
      </c>
      <c r="F48">
        <v>0</v>
      </c>
      <c r="H48">
        <f t="shared" si="6"/>
        <v>3802084</v>
      </c>
      <c r="I48">
        <v>552684</v>
      </c>
      <c r="K48" t="s">
        <v>1135</v>
      </c>
      <c r="L48" s="15">
        <v>45674</v>
      </c>
      <c r="M48" s="202">
        <v>49900</v>
      </c>
      <c r="V48" s="1">
        <v>41791</v>
      </c>
      <c r="W48">
        <v>44275</v>
      </c>
      <c r="X48">
        <v>2130</v>
      </c>
    </row>
    <row r="49" spans="1:24" x14ac:dyDescent="0.3">
      <c r="A49" s="1">
        <v>45962</v>
      </c>
      <c r="B49" s="3">
        <v>12889</v>
      </c>
      <c r="C49" s="3">
        <v>11639</v>
      </c>
      <c r="D49">
        <v>1250</v>
      </c>
      <c r="E49">
        <v>5166</v>
      </c>
      <c r="F49">
        <v>0</v>
      </c>
      <c r="H49">
        <f t="shared" si="6"/>
        <v>3826612</v>
      </c>
      <c r="I49">
        <v>552684</v>
      </c>
      <c r="V49" s="1">
        <v>41821</v>
      </c>
      <c r="W49">
        <v>44275</v>
      </c>
      <c r="X49">
        <v>2130</v>
      </c>
    </row>
    <row r="50" spans="1:24" x14ac:dyDescent="0.3">
      <c r="A50" s="1">
        <v>45992</v>
      </c>
      <c r="B50" s="3">
        <v>12889</v>
      </c>
      <c r="C50" s="3">
        <v>11639</v>
      </c>
      <c r="D50">
        <v>1250</v>
      </c>
      <c r="E50">
        <v>5166</v>
      </c>
      <c r="F50">
        <v>0</v>
      </c>
      <c r="H50">
        <f t="shared" si="6"/>
        <v>3851140</v>
      </c>
      <c r="I50">
        <v>552684</v>
      </c>
      <c r="P50">
        <v>13920</v>
      </c>
      <c r="V50" s="1">
        <v>41852</v>
      </c>
      <c r="W50">
        <v>44275</v>
      </c>
      <c r="X50">
        <v>2130</v>
      </c>
    </row>
    <row r="51" spans="1:24" x14ac:dyDescent="0.3">
      <c r="A51" s="1">
        <v>46023</v>
      </c>
      <c r="B51" s="3">
        <v>13920</v>
      </c>
      <c r="C51" s="3">
        <v>12670</v>
      </c>
      <c r="D51">
        <v>1250</v>
      </c>
      <c r="E51">
        <v>5166</v>
      </c>
      <c r="F51">
        <v>0</v>
      </c>
      <c r="H51">
        <f t="shared" si="6"/>
        <v>3877730</v>
      </c>
      <c r="I51">
        <v>552684</v>
      </c>
      <c r="P51">
        <v>-1250</v>
      </c>
      <c r="V51" s="1">
        <v>41883</v>
      </c>
      <c r="W51">
        <v>44275</v>
      </c>
      <c r="X51">
        <v>2130</v>
      </c>
    </row>
    <row r="52" spans="1:24" x14ac:dyDescent="0.3">
      <c r="A52" s="1">
        <v>46054</v>
      </c>
      <c r="B52" s="3">
        <v>13920</v>
      </c>
      <c r="C52" s="3">
        <v>12670</v>
      </c>
      <c r="D52">
        <v>1250</v>
      </c>
      <c r="E52">
        <v>5166</v>
      </c>
      <c r="F52">
        <v>0</v>
      </c>
      <c r="H52">
        <f t="shared" si="6"/>
        <v>3904320</v>
      </c>
      <c r="I52">
        <v>552684</v>
      </c>
      <c r="P52">
        <f>SUM(P50:P51)</f>
        <v>12670</v>
      </c>
      <c r="V52" s="1">
        <v>41913</v>
      </c>
      <c r="W52">
        <v>44275</v>
      </c>
      <c r="X52">
        <v>2130</v>
      </c>
    </row>
    <row r="53" spans="1:24" x14ac:dyDescent="0.3">
      <c r="A53" s="1">
        <v>46082</v>
      </c>
      <c r="B53" s="3">
        <v>13920</v>
      </c>
      <c r="C53" s="3">
        <v>12670</v>
      </c>
      <c r="D53">
        <v>1250</v>
      </c>
      <c r="E53">
        <v>5166</v>
      </c>
      <c r="F53">
        <v>0</v>
      </c>
      <c r="H53">
        <f t="shared" si="6"/>
        <v>3930910</v>
      </c>
      <c r="I53">
        <v>552684</v>
      </c>
      <c r="L53">
        <v>9508</v>
      </c>
      <c r="V53" s="1">
        <v>41944</v>
      </c>
      <c r="W53">
        <v>44275</v>
      </c>
      <c r="X53">
        <v>2130</v>
      </c>
    </row>
    <row r="54" spans="1:24" x14ac:dyDescent="0.3">
      <c r="A54" s="1">
        <v>46113</v>
      </c>
      <c r="B54">
        <v>13920</v>
      </c>
      <c r="C54">
        <v>12670</v>
      </c>
      <c r="D54">
        <v>1250</v>
      </c>
      <c r="E54">
        <v>5166</v>
      </c>
      <c r="F54">
        <v>0</v>
      </c>
      <c r="H54">
        <f t="shared" si="6"/>
        <v>3957500</v>
      </c>
      <c r="I54">
        <v>552684</v>
      </c>
      <c r="L54">
        <v>8077</v>
      </c>
      <c r="V54" s="1">
        <v>41974</v>
      </c>
      <c r="W54">
        <v>44275</v>
      </c>
      <c r="X54">
        <v>2130</v>
      </c>
    </row>
    <row r="55" spans="1:24" x14ac:dyDescent="0.3">
      <c r="A55" s="1">
        <v>46143</v>
      </c>
      <c r="B55">
        <v>13920</v>
      </c>
      <c r="C55">
        <v>12670</v>
      </c>
      <c r="D55">
        <v>1250</v>
      </c>
      <c r="E55">
        <v>5166</v>
      </c>
      <c r="H55">
        <f t="shared" si="6"/>
        <v>3984090</v>
      </c>
      <c r="I55">
        <v>552684</v>
      </c>
      <c r="L55">
        <v>3415</v>
      </c>
      <c r="V55" s="1">
        <v>42005</v>
      </c>
      <c r="W55">
        <v>44275</v>
      </c>
      <c r="X55">
        <v>2130</v>
      </c>
    </row>
    <row r="56" spans="1:24" x14ac:dyDescent="0.3">
      <c r="L56">
        <f>SUM(L53:L55)</f>
        <v>21000</v>
      </c>
      <c r="V56" s="1">
        <v>42036</v>
      </c>
      <c r="W56">
        <v>46931</v>
      </c>
      <c r="X56">
        <v>2257</v>
      </c>
    </row>
    <row r="57" spans="1:24" x14ac:dyDescent="0.3">
      <c r="L57">
        <v>118538</v>
      </c>
      <c r="V57" s="1">
        <v>42064</v>
      </c>
      <c r="W57">
        <v>46931</v>
      </c>
      <c r="X57">
        <v>2257</v>
      </c>
    </row>
    <row r="58" spans="1:24" x14ac:dyDescent="0.3">
      <c r="L58">
        <v>74158</v>
      </c>
      <c r="V58" s="1">
        <v>42095</v>
      </c>
      <c r="W58">
        <v>46931</v>
      </c>
      <c r="X58">
        <v>2257</v>
      </c>
    </row>
    <row r="59" spans="1:24" x14ac:dyDescent="0.3">
      <c r="L59">
        <v>32573</v>
      </c>
      <c r="V59" s="1">
        <v>42125</v>
      </c>
      <c r="W59">
        <v>46931</v>
      </c>
      <c r="X59">
        <v>2257</v>
      </c>
    </row>
    <row r="60" spans="1:24" x14ac:dyDescent="0.3">
      <c r="L60">
        <v>20661</v>
      </c>
      <c r="V60" s="1">
        <v>42156</v>
      </c>
      <c r="W60">
        <v>46931</v>
      </c>
      <c r="X60">
        <v>2257</v>
      </c>
    </row>
    <row r="61" spans="1:24" x14ac:dyDescent="0.3">
      <c r="L61">
        <f>SUM(L53:L60)</f>
        <v>287930</v>
      </c>
      <c r="M61">
        <v>310000</v>
      </c>
      <c r="N61">
        <v>340000</v>
      </c>
      <c r="O61">
        <v>370000</v>
      </c>
      <c r="V61" s="1">
        <v>42186</v>
      </c>
      <c r="W61">
        <v>46931</v>
      </c>
      <c r="X61">
        <v>2257</v>
      </c>
    </row>
    <row r="62" spans="1:24" x14ac:dyDescent="0.3">
      <c r="V62" s="1">
        <v>42217</v>
      </c>
      <c r="W62">
        <v>46931</v>
      </c>
      <c r="X62">
        <v>2257</v>
      </c>
    </row>
    <row r="63" spans="1:24" x14ac:dyDescent="0.3">
      <c r="V63" s="1">
        <v>42248</v>
      </c>
      <c r="W63">
        <v>46931</v>
      </c>
      <c r="X63">
        <v>2257</v>
      </c>
    </row>
    <row r="64" spans="1:24" x14ac:dyDescent="0.3">
      <c r="V64" s="1">
        <v>42278</v>
      </c>
      <c r="W64">
        <v>46931</v>
      </c>
      <c r="X64">
        <v>2257</v>
      </c>
    </row>
    <row r="65" spans="22:24" x14ac:dyDescent="0.3">
      <c r="V65" s="1">
        <v>42309</v>
      </c>
      <c r="W65">
        <v>46931</v>
      </c>
      <c r="X65">
        <v>2257</v>
      </c>
    </row>
    <row r="66" spans="22:24" x14ac:dyDescent="0.3">
      <c r="V66" s="1">
        <v>42339</v>
      </c>
      <c r="W66">
        <v>46931</v>
      </c>
      <c r="X66">
        <v>2257</v>
      </c>
    </row>
    <row r="67" spans="22:24" x14ac:dyDescent="0.3">
      <c r="V67" s="1">
        <v>42370</v>
      </c>
      <c r="W67">
        <v>46931</v>
      </c>
      <c r="X67">
        <v>2257</v>
      </c>
    </row>
    <row r="68" spans="22:24" x14ac:dyDescent="0.3">
      <c r="V68" s="1">
        <v>42401</v>
      </c>
      <c r="W68">
        <v>52329</v>
      </c>
      <c r="X68">
        <v>2517</v>
      </c>
    </row>
    <row r="69" spans="22:24" x14ac:dyDescent="0.3">
      <c r="V69" s="1">
        <v>42430</v>
      </c>
      <c r="W69">
        <v>52329</v>
      </c>
      <c r="X69">
        <v>2517</v>
      </c>
    </row>
    <row r="70" spans="22:24" x14ac:dyDescent="0.3">
      <c r="V70" s="1">
        <v>42461</v>
      </c>
      <c r="W70">
        <v>52329</v>
      </c>
      <c r="X70">
        <v>2517</v>
      </c>
    </row>
    <row r="71" spans="22:24" x14ac:dyDescent="0.3">
      <c r="V71" s="1">
        <v>42491</v>
      </c>
      <c r="W71">
        <v>52329</v>
      </c>
      <c r="X71">
        <v>2517</v>
      </c>
    </row>
    <row r="72" spans="22:24" x14ac:dyDescent="0.3">
      <c r="V72" s="1">
        <v>42522</v>
      </c>
      <c r="W72">
        <v>52329</v>
      </c>
      <c r="X72">
        <v>2517</v>
      </c>
    </row>
    <row r="73" spans="22:24" x14ac:dyDescent="0.3">
      <c r="V73" s="1">
        <v>42552</v>
      </c>
      <c r="W73">
        <v>52329</v>
      </c>
      <c r="X73">
        <v>2517</v>
      </c>
    </row>
    <row r="74" spans="22:24" x14ac:dyDescent="0.3">
      <c r="V74" s="1">
        <v>42583</v>
      </c>
      <c r="W74">
        <v>52329</v>
      </c>
      <c r="X74">
        <v>2517</v>
      </c>
    </row>
    <row r="75" spans="22:24" x14ac:dyDescent="0.3">
      <c r="V75" s="1">
        <v>42614</v>
      </c>
      <c r="W75">
        <v>52329</v>
      </c>
      <c r="X75">
        <v>2517</v>
      </c>
    </row>
    <row r="76" spans="22:24" x14ac:dyDescent="0.3">
      <c r="V76" s="1">
        <v>42644</v>
      </c>
      <c r="W76">
        <v>52329</v>
      </c>
      <c r="X76">
        <v>2517</v>
      </c>
    </row>
    <row r="77" spans="22:24" x14ac:dyDescent="0.3">
      <c r="V77" s="1">
        <v>42675</v>
      </c>
      <c r="W77">
        <v>52329</v>
      </c>
      <c r="X77">
        <v>2517</v>
      </c>
    </row>
    <row r="78" spans="22:24" x14ac:dyDescent="0.3">
      <c r="V78" s="1">
        <v>42705</v>
      </c>
      <c r="W78">
        <v>52329</v>
      </c>
      <c r="X78">
        <v>2517</v>
      </c>
    </row>
    <row r="79" spans="22:24" x14ac:dyDescent="0.3">
      <c r="V79" s="1">
        <v>42736</v>
      </c>
      <c r="W79">
        <v>52329</v>
      </c>
      <c r="X79">
        <v>2517</v>
      </c>
    </row>
    <row r="80" spans="22:24" x14ac:dyDescent="0.3">
      <c r="V80" s="1">
        <v>42767</v>
      </c>
      <c r="W80">
        <v>55992</v>
      </c>
      <c r="X80">
        <v>2693</v>
      </c>
    </row>
    <row r="81" spans="22:24" x14ac:dyDescent="0.3">
      <c r="V81" s="1">
        <v>42795</v>
      </c>
      <c r="W81">
        <v>55992</v>
      </c>
      <c r="X81">
        <v>2693</v>
      </c>
    </row>
    <row r="82" spans="22:24" x14ac:dyDescent="0.3">
      <c r="V82" s="1">
        <v>42826</v>
      </c>
      <c r="W82">
        <v>55992</v>
      </c>
      <c r="X82">
        <v>2693</v>
      </c>
    </row>
    <row r="83" spans="22:24" x14ac:dyDescent="0.3">
      <c r="V83" s="1">
        <v>42856</v>
      </c>
      <c r="W83">
        <v>55992</v>
      </c>
      <c r="X83">
        <v>2693</v>
      </c>
    </row>
    <row r="84" spans="22:24" x14ac:dyDescent="0.3">
      <c r="V84" s="1">
        <v>42887</v>
      </c>
      <c r="W84">
        <v>55992</v>
      </c>
      <c r="X84">
        <v>2693</v>
      </c>
    </row>
    <row r="85" spans="22:24" x14ac:dyDescent="0.3">
      <c r="V85" s="1">
        <v>42917</v>
      </c>
      <c r="W85">
        <v>55992</v>
      </c>
      <c r="X85">
        <v>2693</v>
      </c>
    </row>
    <row r="86" spans="22:24" x14ac:dyDescent="0.3">
      <c r="V86" s="1">
        <v>42948</v>
      </c>
      <c r="W86">
        <v>55992</v>
      </c>
      <c r="X86">
        <v>2693</v>
      </c>
    </row>
    <row r="87" spans="22:24" x14ac:dyDescent="0.3">
      <c r="V87" s="1">
        <v>42979</v>
      </c>
      <c r="W87">
        <v>55992</v>
      </c>
      <c r="X87">
        <v>2693</v>
      </c>
    </row>
    <row r="88" spans="22:24" x14ac:dyDescent="0.3">
      <c r="V88" s="1">
        <v>43009</v>
      </c>
      <c r="W88">
        <v>55992</v>
      </c>
      <c r="X88">
        <v>2693</v>
      </c>
    </row>
    <row r="89" spans="22:24" x14ac:dyDescent="0.3">
      <c r="V89" s="1">
        <v>43040</v>
      </c>
      <c r="W89">
        <v>55992</v>
      </c>
      <c r="X89">
        <v>2693</v>
      </c>
    </row>
    <row r="90" spans="22:24" x14ac:dyDescent="0.3">
      <c r="V90" s="1">
        <v>43070</v>
      </c>
      <c r="W90">
        <v>55992</v>
      </c>
      <c r="X90">
        <v>2693</v>
      </c>
    </row>
    <row r="91" spans="22:24" x14ac:dyDescent="0.3">
      <c r="V91" s="1">
        <v>43101</v>
      </c>
      <c r="W91">
        <v>61031</v>
      </c>
      <c r="X91">
        <v>2936</v>
      </c>
    </row>
    <row r="92" spans="22:24" x14ac:dyDescent="0.3">
      <c r="V92" s="1">
        <v>43132</v>
      </c>
      <c r="W92">
        <v>61031</v>
      </c>
      <c r="X92">
        <v>2936</v>
      </c>
    </row>
    <row r="93" spans="22:24" x14ac:dyDescent="0.3">
      <c r="V93" s="1">
        <v>43160</v>
      </c>
      <c r="W93">
        <v>61031</v>
      </c>
      <c r="X93">
        <v>2936</v>
      </c>
    </row>
    <row r="94" spans="22:24" x14ac:dyDescent="0.3">
      <c r="V94" s="1">
        <v>43191</v>
      </c>
      <c r="W94">
        <v>61031</v>
      </c>
      <c r="X94">
        <v>2936</v>
      </c>
    </row>
    <row r="95" spans="22:24" x14ac:dyDescent="0.3">
      <c r="V95" s="1">
        <v>43221</v>
      </c>
      <c r="W95">
        <v>61031</v>
      </c>
      <c r="X95">
        <v>2936</v>
      </c>
    </row>
    <row r="96" spans="22:24" x14ac:dyDescent="0.3">
      <c r="V96" s="1">
        <v>43252</v>
      </c>
      <c r="W96">
        <v>61031</v>
      </c>
      <c r="X96">
        <v>2936</v>
      </c>
    </row>
    <row r="97" spans="22:24" x14ac:dyDescent="0.3">
      <c r="V97" s="1">
        <v>43282</v>
      </c>
      <c r="W97">
        <v>61031</v>
      </c>
      <c r="X97">
        <v>2936</v>
      </c>
    </row>
    <row r="98" spans="22:24" x14ac:dyDescent="0.3">
      <c r="V98" s="1">
        <v>43313</v>
      </c>
      <c r="W98">
        <v>61031</v>
      </c>
      <c r="X98">
        <v>2936</v>
      </c>
    </row>
    <row r="99" spans="22:24" x14ac:dyDescent="0.3">
      <c r="V99" s="1">
        <v>43344</v>
      </c>
      <c r="W99">
        <v>61031</v>
      </c>
      <c r="X99">
        <v>2936</v>
      </c>
    </row>
    <row r="100" spans="22:24" x14ac:dyDescent="0.3">
      <c r="V100" s="1">
        <v>43374</v>
      </c>
      <c r="W100">
        <v>61031</v>
      </c>
      <c r="X100">
        <v>2936</v>
      </c>
    </row>
    <row r="101" spans="22:24" x14ac:dyDescent="0.3">
      <c r="V101" s="1">
        <v>43405</v>
      </c>
      <c r="W101">
        <v>61031</v>
      </c>
      <c r="X101">
        <v>2936</v>
      </c>
    </row>
    <row r="102" spans="22:24" x14ac:dyDescent="0.3">
      <c r="V102" s="1">
        <v>43435</v>
      </c>
      <c r="W102">
        <v>61031</v>
      </c>
      <c r="X102">
        <v>2936</v>
      </c>
    </row>
    <row r="103" spans="22:24" x14ac:dyDescent="0.3">
      <c r="V103" s="1">
        <v>43466</v>
      </c>
      <c r="W103">
        <v>64082</v>
      </c>
      <c r="X103">
        <v>3082</v>
      </c>
    </row>
    <row r="104" spans="22:24" x14ac:dyDescent="0.3">
      <c r="V104" s="1">
        <v>43497</v>
      </c>
      <c r="W104">
        <v>64082</v>
      </c>
      <c r="X104">
        <v>3082</v>
      </c>
    </row>
    <row r="105" spans="22:24" x14ac:dyDescent="0.3">
      <c r="V105" s="1">
        <v>43525</v>
      </c>
      <c r="W105">
        <v>64082</v>
      </c>
      <c r="X105">
        <v>3082</v>
      </c>
    </row>
    <row r="106" spans="22:24" x14ac:dyDescent="0.3">
      <c r="V106" s="1">
        <v>43556</v>
      </c>
      <c r="W106">
        <v>64082</v>
      </c>
      <c r="X106">
        <v>3082</v>
      </c>
    </row>
    <row r="107" spans="22:24" x14ac:dyDescent="0.3">
      <c r="V107" s="1">
        <v>43586</v>
      </c>
      <c r="W107">
        <v>64082</v>
      </c>
      <c r="X107">
        <v>3082</v>
      </c>
    </row>
    <row r="108" spans="22:24" x14ac:dyDescent="0.3">
      <c r="V108" s="1">
        <v>43617</v>
      </c>
      <c r="W108">
        <v>64082</v>
      </c>
      <c r="X108">
        <v>3082</v>
      </c>
    </row>
    <row r="109" spans="22:24" x14ac:dyDescent="0.3">
      <c r="V109" s="1">
        <v>43647</v>
      </c>
      <c r="W109">
        <v>64082</v>
      </c>
      <c r="X109">
        <v>3082</v>
      </c>
    </row>
    <row r="110" spans="22:24" x14ac:dyDescent="0.3">
      <c r="V110" s="1">
        <v>43678</v>
      </c>
      <c r="W110">
        <v>64082</v>
      </c>
      <c r="X110">
        <v>3082</v>
      </c>
    </row>
    <row r="111" spans="22:24" x14ac:dyDescent="0.3">
      <c r="V111" s="1">
        <v>43709</v>
      </c>
      <c r="W111">
        <v>64082</v>
      </c>
      <c r="X111">
        <v>3082</v>
      </c>
    </row>
    <row r="112" spans="22:24" x14ac:dyDescent="0.3">
      <c r="V112" s="1">
        <v>43739</v>
      </c>
      <c r="W112">
        <v>64082</v>
      </c>
      <c r="X112">
        <v>3082</v>
      </c>
    </row>
    <row r="113" spans="22:24" x14ac:dyDescent="0.3">
      <c r="V113" s="1">
        <v>43770</v>
      </c>
      <c r="W113">
        <v>64082</v>
      </c>
      <c r="X113">
        <v>3082</v>
      </c>
    </row>
    <row r="114" spans="22:24" x14ac:dyDescent="0.3">
      <c r="V114" s="1">
        <v>43800</v>
      </c>
      <c r="W114">
        <v>64082</v>
      </c>
      <c r="X114">
        <v>3082</v>
      </c>
    </row>
    <row r="115" spans="22:24" x14ac:dyDescent="0.3">
      <c r="V115" s="1">
        <v>43831</v>
      </c>
      <c r="W115">
        <v>67927</v>
      </c>
      <c r="X115">
        <v>3267</v>
      </c>
    </row>
    <row r="116" spans="22:24" x14ac:dyDescent="0.3">
      <c r="V116" s="1">
        <v>43862</v>
      </c>
      <c r="W116">
        <v>67927</v>
      </c>
      <c r="X116">
        <v>3267</v>
      </c>
    </row>
    <row r="117" spans="22:24" x14ac:dyDescent="0.3">
      <c r="V117" s="1">
        <v>43891</v>
      </c>
      <c r="W117">
        <v>67927</v>
      </c>
      <c r="X117">
        <v>3267</v>
      </c>
    </row>
    <row r="118" spans="22:24" x14ac:dyDescent="0.3">
      <c r="V118" s="1">
        <v>43922</v>
      </c>
      <c r="W118">
        <v>67927</v>
      </c>
      <c r="X118">
        <v>3267</v>
      </c>
    </row>
    <row r="119" spans="22:24" x14ac:dyDescent="0.3">
      <c r="V119" s="1">
        <v>43952</v>
      </c>
      <c r="W119">
        <v>67927</v>
      </c>
      <c r="X119">
        <v>3267</v>
      </c>
    </row>
    <row r="120" spans="22:24" x14ac:dyDescent="0.3">
      <c r="V120" s="1">
        <v>43983</v>
      </c>
      <c r="W120">
        <v>67927</v>
      </c>
      <c r="X120">
        <v>3267</v>
      </c>
    </row>
    <row r="121" spans="22:24" x14ac:dyDescent="0.3">
      <c r="V121" s="1">
        <v>44013</v>
      </c>
      <c r="W121">
        <v>67927</v>
      </c>
      <c r="X121">
        <v>3267</v>
      </c>
    </row>
    <row r="122" spans="22:24" x14ac:dyDescent="0.3">
      <c r="V122" s="1">
        <v>44044</v>
      </c>
      <c r="W122">
        <v>67927</v>
      </c>
      <c r="X122">
        <v>3267</v>
      </c>
    </row>
    <row r="123" spans="22:24" x14ac:dyDescent="0.3">
      <c r="V123" s="1">
        <v>44075</v>
      </c>
      <c r="W123">
        <v>67927</v>
      </c>
      <c r="X123">
        <v>3267</v>
      </c>
    </row>
    <row r="124" spans="22:24" x14ac:dyDescent="0.3">
      <c r="V124" s="1">
        <v>44105</v>
      </c>
      <c r="W124">
        <v>67927</v>
      </c>
      <c r="X124">
        <v>3267</v>
      </c>
    </row>
    <row r="125" spans="22:24" x14ac:dyDescent="0.3">
      <c r="V125" s="1">
        <v>44136</v>
      </c>
      <c r="W125">
        <v>67927</v>
      </c>
      <c r="X125">
        <v>3267</v>
      </c>
    </row>
    <row r="126" spans="22:24" x14ac:dyDescent="0.3">
      <c r="V126" s="1">
        <v>44166</v>
      </c>
      <c r="W126">
        <v>67927</v>
      </c>
      <c r="X126">
        <v>3267</v>
      </c>
    </row>
    <row r="127" spans="22:24" x14ac:dyDescent="0.3">
      <c r="V127" s="1">
        <v>44197</v>
      </c>
      <c r="W127">
        <v>74720</v>
      </c>
      <c r="X127">
        <v>3594</v>
      </c>
    </row>
    <row r="128" spans="22:24" x14ac:dyDescent="0.3">
      <c r="V128" s="1">
        <v>44228</v>
      </c>
      <c r="W128">
        <v>74720</v>
      </c>
      <c r="X128">
        <v>3594</v>
      </c>
    </row>
    <row r="129" spans="22:24" x14ac:dyDescent="0.3">
      <c r="V129" s="1">
        <v>44256</v>
      </c>
      <c r="W129">
        <v>74720</v>
      </c>
      <c r="X129">
        <v>3594</v>
      </c>
    </row>
    <row r="130" spans="22:24" x14ac:dyDescent="0.3">
      <c r="V130" s="1">
        <v>44287</v>
      </c>
      <c r="W130">
        <v>74720</v>
      </c>
      <c r="X130">
        <v>3594</v>
      </c>
    </row>
    <row r="131" spans="22:24" x14ac:dyDescent="0.3">
      <c r="V131" s="1">
        <v>44317</v>
      </c>
      <c r="W131">
        <v>74720</v>
      </c>
      <c r="X131">
        <v>3594</v>
      </c>
    </row>
    <row r="132" spans="22:24" x14ac:dyDescent="0.3">
      <c r="V132" s="1">
        <v>44348</v>
      </c>
      <c r="W132">
        <v>74720</v>
      </c>
      <c r="X132">
        <v>3594</v>
      </c>
    </row>
    <row r="133" spans="22:24" x14ac:dyDescent="0.3">
      <c r="V133" s="1">
        <v>44378</v>
      </c>
      <c r="W133">
        <v>74720</v>
      </c>
      <c r="X133">
        <v>3594</v>
      </c>
    </row>
    <row r="134" spans="22:24" x14ac:dyDescent="0.3">
      <c r="V134" s="1">
        <v>44409</v>
      </c>
      <c r="W134">
        <v>74720</v>
      </c>
      <c r="X134">
        <v>3594</v>
      </c>
    </row>
    <row r="135" spans="22:24" x14ac:dyDescent="0.3">
      <c r="V135" s="1">
        <v>44440</v>
      </c>
      <c r="W135">
        <v>74720</v>
      </c>
      <c r="X135">
        <v>3594</v>
      </c>
    </row>
    <row r="136" spans="22:24" x14ac:dyDescent="0.3">
      <c r="V136" s="1">
        <v>44470</v>
      </c>
      <c r="W136">
        <v>74720</v>
      </c>
      <c r="X136">
        <v>3594</v>
      </c>
    </row>
    <row r="137" spans="22:24" x14ac:dyDescent="0.3">
      <c r="V137" s="1">
        <v>44501</v>
      </c>
      <c r="W137">
        <v>74720</v>
      </c>
      <c r="X137">
        <v>3594</v>
      </c>
    </row>
    <row r="138" spans="22:24" x14ac:dyDescent="0.3">
      <c r="V138" s="1">
        <v>44531</v>
      </c>
      <c r="W138">
        <v>74720</v>
      </c>
      <c r="X138">
        <v>3594</v>
      </c>
    </row>
    <row r="139" spans="22:24" x14ac:dyDescent="0.3">
      <c r="V139" s="1">
        <v>44562</v>
      </c>
      <c r="X139">
        <v>3900</v>
      </c>
    </row>
    <row r="140" spans="22:24" x14ac:dyDescent="0.3">
      <c r="V140" s="1">
        <v>44593</v>
      </c>
      <c r="X140">
        <v>3900</v>
      </c>
    </row>
    <row r="141" spans="22:24" x14ac:dyDescent="0.3">
      <c r="V141" s="1">
        <v>44621</v>
      </c>
      <c r="X141">
        <v>3900</v>
      </c>
    </row>
    <row r="142" spans="22:24" x14ac:dyDescent="0.3">
      <c r="V142" s="1">
        <v>44652</v>
      </c>
      <c r="X142">
        <v>3900</v>
      </c>
    </row>
    <row r="143" spans="22:24" x14ac:dyDescent="0.3">
      <c r="V143" s="1">
        <v>44682</v>
      </c>
      <c r="X143">
        <v>3900</v>
      </c>
    </row>
    <row r="144" spans="22:24" x14ac:dyDescent="0.3">
      <c r="V144" s="1">
        <v>44713</v>
      </c>
      <c r="X144">
        <v>3900</v>
      </c>
    </row>
    <row r="145" spans="22:24" x14ac:dyDescent="0.3">
      <c r="V145" s="1">
        <v>44743</v>
      </c>
      <c r="X145">
        <v>3900</v>
      </c>
    </row>
    <row r="146" spans="22:24" x14ac:dyDescent="0.3">
      <c r="V146" s="1">
        <v>44774</v>
      </c>
      <c r="X146">
        <v>3900</v>
      </c>
    </row>
    <row r="147" spans="22:24" x14ac:dyDescent="0.3">
      <c r="V147" s="1">
        <v>44805</v>
      </c>
      <c r="X147">
        <v>3900</v>
      </c>
    </row>
    <row r="148" spans="22:24" x14ac:dyDescent="0.3">
      <c r="V148" s="1">
        <v>44835</v>
      </c>
      <c r="X148">
        <v>3900</v>
      </c>
    </row>
    <row r="149" spans="22:24" x14ac:dyDescent="0.3">
      <c r="V149" s="1">
        <v>44866</v>
      </c>
      <c r="X149">
        <v>3900</v>
      </c>
    </row>
    <row r="150" spans="22:24" x14ac:dyDescent="0.3">
      <c r="V150" s="1">
        <v>44896</v>
      </c>
      <c r="X150">
        <v>3900</v>
      </c>
    </row>
    <row r="151" spans="22:24" x14ac:dyDescent="0.3">
      <c r="V151" s="1">
        <v>44927</v>
      </c>
      <c r="X151">
        <v>4289</v>
      </c>
    </row>
    <row r="152" spans="22:24" x14ac:dyDescent="0.3">
      <c r="V152" s="1">
        <v>44958</v>
      </c>
      <c r="X152">
        <v>4289</v>
      </c>
    </row>
    <row r="153" spans="22:24" x14ac:dyDescent="0.3">
      <c r="V153" s="1">
        <v>44986</v>
      </c>
      <c r="X153">
        <v>4289</v>
      </c>
    </row>
    <row r="154" spans="22:24" x14ac:dyDescent="0.3">
      <c r="V154" s="1">
        <v>45017</v>
      </c>
      <c r="X154">
        <v>4289</v>
      </c>
    </row>
    <row r="155" spans="22:24" x14ac:dyDescent="0.3">
      <c r="V155" s="1">
        <v>45047</v>
      </c>
      <c r="X155">
        <v>4289</v>
      </c>
    </row>
    <row r="156" spans="22:24" x14ac:dyDescent="0.3">
      <c r="V156" s="1">
        <v>45078</v>
      </c>
      <c r="X156">
        <v>4289</v>
      </c>
    </row>
    <row r="157" spans="22:24" x14ac:dyDescent="0.3">
      <c r="V157" s="1">
        <v>45108</v>
      </c>
      <c r="X157">
        <v>4289</v>
      </c>
    </row>
    <row r="158" spans="22:24" x14ac:dyDescent="0.3">
      <c r="V158" s="1">
        <v>45139</v>
      </c>
      <c r="X158">
        <v>4289</v>
      </c>
    </row>
    <row r="159" spans="22:24" x14ac:dyDescent="0.3">
      <c r="V159" s="1">
        <v>45170</v>
      </c>
      <c r="X159">
        <v>4289</v>
      </c>
    </row>
    <row r="160" spans="22:24" x14ac:dyDescent="0.3">
      <c r="V160" s="1">
        <v>45200</v>
      </c>
      <c r="X160">
        <v>4289</v>
      </c>
    </row>
    <row r="161" spans="22:24" x14ac:dyDescent="0.3">
      <c r="V161" s="1">
        <v>45231</v>
      </c>
      <c r="X161">
        <v>4289</v>
      </c>
    </row>
    <row r="162" spans="22:24" x14ac:dyDescent="0.3">
      <c r="V162" s="1">
        <v>45261</v>
      </c>
      <c r="X162">
        <v>4289</v>
      </c>
    </row>
    <row r="163" spans="22:24" x14ac:dyDescent="0.3">
      <c r="V163" s="1">
        <v>45292</v>
      </c>
      <c r="X163">
        <v>4675</v>
      </c>
    </row>
    <row r="164" spans="22:24" x14ac:dyDescent="0.3">
      <c r="V164" s="1">
        <v>45323</v>
      </c>
      <c r="X164">
        <v>4675</v>
      </c>
    </row>
    <row r="165" spans="22:24" x14ac:dyDescent="0.3">
      <c r="V165" s="1">
        <v>45352</v>
      </c>
    </row>
    <row r="166" spans="22:24" x14ac:dyDescent="0.3">
      <c r="V166" s="1">
        <v>45383</v>
      </c>
    </row>
    <row r="167" spans="22:24" x14ac:dyDescent="0.3">
      <c r="V167" s="1">
        <v>45413</v>
      </c>
    </row>
    <row r="168" spans="22:24" x14ac:dyDescent="0.3">
      <c r="V168" s="1">
        <v>45444</v>
      </c>
    </row>
    <row r="169" spans="22:24" x14ac:dyDescent="0.3">
      <c r="V169" s="1">
        <v>45474</v>
      </c>
    </row>
    <row r="170" spans="22:24" x14ac:dyDescent="0.3">
      <c r="V170" s="1">
        <v>45505</v>
      </c>
    </row>
    <row r="171" spans="22:24" x14ac:dyDescent="0.3">
      <c r="V171" s="1">
        <v>45536</v>
      </c>
    </row>
    <row r="172" spans="22:24" x14ac:dyDescent="0.3">
      <c r="X172">
        <f>SUM(X1:X171)</f>
        <v>459569</v>
      </c>
    </row>
  </sheetData>
  <mergeCells count="5">
    <mergeCell ref="C1:F1"/>
    <mergeCell ref="C2:F2"/>
    <mergeCell ref="M12:N12"/>
    <mergeCell ref="M17:N17"/>
    <mergeCell ref="M23:N2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Z148"/>
  <sheetViews>
    <sheetView topLeftCell="AE22" zoomScaleNormal="100" workbookViewId="0">
      <selection activeCell="AN29" sqref="AN29:AN30"/>
    </sheetView>
  </sheetViews>
  <sheetFormatPr defaultRowHeight="14.4" x14ac:dyDescent="0.3"/>
  <cols>
    <col min="2" max="2" width="9.6640625" bestFit="1" customWidth="1"/>
    <col min="3" max="3" width="11" bestFit="1" customWidth="1"/>
    <col min="11" max="11" width="10" bestFit="1" customWidth="1"/>
    <col min="25" max="25" width="12.21875" customWidth="1"/>
    <col min="26" max="26" width="12.5546875" customWidth="1"/>
    <col min="51" max="51" width="14.77734375" customWidth="1"/>
    <col min="52" max="52" width="13" customWidth="1"/>
  </cols>
  <sheetData>
    <row r="1" spans="1:52" x14ac:dyDescent="0.3">
      <c r="B1">
        <f>SUM(B2:B6)</f>
        <v>149024</v>
      </c>
      <c r="I1">
        <v>2241601</v>
      </c>
      <c r="J1">
        <f>I1*0.085</f>
        <v>190536.08500000002</v>
      </c>
      <c r="K1">
        <f>I1+J1</f>
        <v>2432137.085</v>
      </c>
      <c r="L1">
        <f>K1*(1.68/100)</f>
        <v>40859.903027999993</v>
      </c>
      <c r="P1" t="s">
        <v>107</v>
      </c>
      <c r="Q1" s="4">
        <v>81071</v>
      </c>
      <c r="R1">
        <f>Q1*0.4</f>
        <v>32428.400000000001</v>
      </c>
      <c r="T1">
        <v>81071</v>
      </c>
      <c r="W1">
        <v>2432136</v>
      </c>
      <c r="Z1">
        <v>2675350</v>
      </c>
      <c r="AA1">
        <f>Z1*0.08</f>
        <v>214028</v>
      </c>
      <c r="AD1">
        <v>3480113</v>
      </c>
      <c r="AE1">
        <v>0.1</v>
      </c>
      <c r="AF1">
        <v>0.09</v>
      </c>
      <c r="AG1">
        <v>0.08</v>
      </c>
      <c r="AH1">
        <v>7.0000000000000007E-2</v>
      </c>
      <c r="AI1">
        <v>0.06</v>
      </c>
      <c r="AJ1">
        <v>0.05</v>
      </c>
      <c r="AP1" s="4" t="s">
        <v>405</v>
      </c>
    </row>
    <row r="2" spans="1:52" x14ac:dyDescent="0.3">
      <c r="B2">
        <v>-2983</v>
      </c>
      <c r="C2" s="79">
        <v>815128</v>
      </c>
      <c r="D2">
        <f>C2/12</f>
        <v>67927.333333333328</v>
      </c>
      <c r="E2">
        <v>67927</v>
      </c>
      <c r="F2">
        <f>E2*0.12</f>
        <v>8151.24</v>
      </c>
      <c r="I2">
        <v>6793</v>
      </c>
      <c r="J2">
        <v>8151</v>
      </c>
      <c r="K2">
        <v>-1250</v>
      </c>
      <c r="P2" t="s">
        <v>289</v>
      </c>
      <c r="Q2" s="4">
        <v>40536</v>
      </c>
      <c r="R2" s="3" t="s">
        <v>514</v>
      </c>
      <c r="S2" s="3"/>
      <c r="T2">
        <v>40536</v>
      </c>
      <c r="U2" s="3"/>
      <c r="W2">
        <f>W1/12</f>
        <v>202678</v>
      </c>
      <c r="Z2">
        <v>-400000</v>
      </c>
      <c r="AA2" s="4">
        <f>Z1*0.09</f>
        <v>240781.5</v>
      </c>
      <c r="AB2" s="4">
        <f>Z1+AA2</f>
        <v>2916131.5</v>
      </c>
      <c r="AE2">
        <f>AD1*AE1</f>
        <v>348011.30000000005</v>
      </c>
      <c r="AF2">
        <f>AD1*AF1</f>
        <v>313210.17</v>
      </c>
      <c r="AG2">
        <f>AD1*AG1</f>
        <v>278409.03999999998</v>
      </c>
      <c r="AH2">
        <f>AD1*AH1</f>
        <v>243607.91000000003</v>
      </c>
      <c r="AI2">
        <f>AD1*AI1</f>
        <v>208806.78</v>
      </c>
      <c r="AJ2">
        <f>AD1*AJ1</f>
        <v>174005.65000000002</v>
      </c>
      <c r="AM2" s="1">
        <v>42005</v>
      </c>
      <c r="AO2" s="1">
        <v>42736</v>
      </c>
      <c r="AP2">
        <v>13000</v>
      </c>
      <c r="AQ2" s="1">
        <v>43466</v>
      </c>
      <c r="AR2">
        <v>14500</v>
      </c>
      <c r="AS2" s="1">
        <v>44197</v>
      </c>
      <c r="AT2">
        <v>14900</v>
      </c>
      <c r="AU2" s="1">
        <v>44927</v>
      </c>
      <c r="AV2">
        <v>16300</v>
      </c>
      <c r="AW2" s="1"/>
      <c r="AY2">
        <v>41368267950</v>
      </c>
      <c r="AZ2">
        <v>98000</v>
      </c>
    </row>
    <row r="3" spans="1:52" x14ac:dyDescent="0.3">
      <c r="B3">
        <v>-27114</v>
      </c>
      <c r="C3" s="79">
        <v>1085664</v>
      </c>
      <c r="D3">
        <v>89072</v>
      </c>
      <c r="E3">
        <f>C3/12</f>
        <v>90472</v>
      </c>
      <c r="F3">
        <f>SUM(D8:D12)</f>
        <v>40800</v>
      </c>
      <c r="G3">
        <f>E3-F3</f>
        <v>49672</v>
      </c>
      <c r="I3">
        <v>111455</v>
      </c>
      <c r="J3" s="3">
        <f>SUM(I2:K2)</f>
        <v>13694</v>
      </c>
      <c r="K3" s="3">
        <v>17661</v>
      </c>
      <c r="L3">
        <v>2000</v>
      </c>
      <c r="M3">
        <v>3267</v>
      </c>
      <c r="N3">
        <v>2000</v>
      </c>
      <c r="O3">
        <v>1400</v>
      </c>
      <c r="P3" t="s">
        <v>108</v>
      </c>
      <c r="Q3" s="4">
        <v>1400</v>
      </c>
      <c r="R3" t="s">
        <v>514</v>
      </c>
      <c r="T3">
        <v>1400</v>
      </c>
      <c r="W3">
        <v>-30000</v>
      </c>
      <c r="X3">
        <f>W1*0.1</f>
        <v>243213.6</v>
      </c>
      <c r="Y3">
        <f>W1+X3</f>
        <v>2675349.6</v>
      </c>
      <c r="Z3">
        <f>SUM(Z1:Z2)</f>
        <v>2275350</v>
      </c>
      <c r="AA3">
        <f>Z1*0.1</f>
        <v>267535</v>
      </c>
      <c r="AE3">
        <f>SUM(AD1,AE2)</f>
        <v>3828124.3</v>
      </c>
      <c r="AF3">
        <f>SUM(AF2,AD1)</f>
        <v>3793323.17</v>
      </c>
      <c r="AG3">
        <f>SUM(AG2,AD1)</f>
        <v>3758522.04</v>
      </c>
      <c r="AH3">
        <f>SUM(AH2,AD1)</f>
        <v>3723720.91</v>
      </c>
      <c r="AM3" s="1">
        <v>42036</v>
      </c>
      <c r="AO3" s="1">
        <v>42767</v>
      </c>
      <c r="AQ3" s="1">
        <v>43497</v>
      </c>
      <c r="AR3">
        <v>14800</v>
      </c>
      <c r="AS3" s="1">
        <v>44228</v>
      </c>
      <c r="AT3">
        <v>16000</v>
      </c>
      <c r="AU3" s="1">
        <v>44958</v>
      </c>
      <c r="AV3">
        <v>16300</v>
      </c>
      <c r="AW3" s="1"/>
      <c r="AY3">
        <v>42446106429</v>
      </c>
      <c r="AZ3">
        <v>49000</v>
      </c>
    </row>
    <row r="4" spans="1:52" x14ac:dyDescent="0.3">
      <c r="B4">
        <v>-200</v>
      </c>
      <c r="C4" s="79">
        <v>137020</v>
      </c>
      <c r="D4">
        <v>1400</v>
      </c>
      <c r="K4" s="1"/>
      <c r="O4">
        <v>35000</v>
      </c>
      <c r="P4" t="s">
        <v>485</v>
      </c>
      <c r="Q4" s="4">
        <v>5000</v>
      </c>
      <c r="R4" t="s">
        <v>514</v>
      </c>
      <c r="T4">
        <v>5000</v>
      </c>
      <c r="W4">
        <f>SUM(W2:W3)</f>
        <v>172678</v>
      </c>
      <c r="Z4">
        <v>-400000</v>
      </c>
      <c r="AA4">
        <f>Z1*0.11</f>
        <v>294288.5</v>
      </c>
      <c r="AC4">
        <f>AB2*0.105</f>
        <v>306193.8075</v>
      </c>
      <c r="AD4">
        <f>AB2+AC4</f>
        <v>3222325.3075000001</v>
      </c>
      <c r="AE4">
        <v>34900</v>
      </c>
      <c r="AM4" s="1">
        <v>42064</v>
      </c>
      <c r="AO4" s="1">
        <v>42795</v>
      </c>
      <c r="AQ4" s="1">
        <v>43525</v>
      </c>
      <c r="AR4">
        <v>15000</v>
      </c>
      <c r="AS4" s="1">
        <v>44256</v>
      </c>
      <c r="AU4" s="1">
        <v>44986</v>
      </c>
      <c r="AV4">
        <v>16300</v>
      </c>
      <c r="AW4" s="1"/>
      <c r="AY4">
        <v>41720198767</v>
      </c>
      <c r="AZ4">
        <v>49000</v>
      </c>
    </row>
    <row r="5" spans="1:52" x14ac:dyDescent="0.3">
      <c r="B5">
        <v>-9729</v>
      </c>
      <c r="C5">
        <v>97815</v>
      </c>
      <c r="D5">
        <f>C5/12</f>
        <v>8151.25</v>
      </c>
      <c r="H5">
        <v>6299</v>
      </c>
      <c r="I5">
        <v>67927</v>
      </c>
      <c r="J5">
        <v>45236</v>
      </c>
      <c r="K5">
        <f>(I5+J5)/30</f>
        <v>3772.1</v>
      </c>
      <c r="L5">
        <f>K5*38</f>
        <v>143339.79999999999</v>
      </c>
      <c r="O5">
        <v>200</v>
      </c>
      <c r="P5" t="s">
        <v>291</v>
      </c>
      <c r="Q5" s="4">
        <v>4167</v>
      </c>
      <c r="R5" t="s">
        <v>514</v>
      </c>
      <c r="T5">
        <v>4167</v>
      </c>
      <c r="Z5">
        <f>SUM(Z3:Z4)</f>
        <v>1875350</v>
      </c>
      <c r="AA5">
        <f>Z1*0.12</f>
        <v>321042</v>
      </c>
      <c r="AM5" s="1">
        <v>42095</v>
      </c>
      <c r="AN5">
        <v>7000</v>
      </c>
      <c r="AO5" s="1">
        <v>42826</v>
      </c>
      <c r="AQ5" s="1">
        <v>43556</v>
      </c>
      <c r="AR5">
        <v>14000</v>
      </c>
      <c r="AS5" s="1">
        <v>44287</v>
      </c>
      <c r="AT5">
        <v>16000</v>
      </c>
      <c r="AU5" s="1">
        <v>45017</v>
      </c>
      <c r="AV5">
        <v>16300</v>
      </c>
      <c r="AW5" s="1"/>
      <c r="AY5">
        <v>41368300002</v>
      </c>
      <c r="AZ5">
        <v>49000</v>
      </c>
    </row>
    <row r="6" spans="1:52" x14ac:dyDescent="0.3">
      <c r="B6" s="4">
        <f>SUM(B7:B13)</f>
        <v>189050</v>
      </c>
      <c r="C6">
        <f>D6*12</f>
        <v>39204</v>
      </c>
      <c r="D6">
        <v>3267</v>
      </c>
      <c r="H6">
        <f>62997*0.12</f>
        <v>7559.6399999999994</v>
      </c>
      <c r="L6">
        <f>L5*0.3</f>
        <v>43001.939999999995</v>
      </c>
      <c r="O6">
        <v>2200</v>
      </c>
      <c r="P6" t="s">
        <v>477</v>
      </c>
      <c r="Q6" s="4">
        <v>200</v>
      </c>
      <c r="R6" t="s">
        <v>515</v>
      </c>
      <c r="T6">
        <v>200</v>
      </c>
      <c r="AM6" s="1">
        <v>42125</v>
      </c>
      <c r="AO6" s="1">
        <v>42856</v>
      </c>
      <c r="AQ6" s="1">
        <v>43586</v>
      </c>
      <c r="AR6">
        <v>0</v>
      </c>
      <c r="AS6" s="1">
        <v>44317</v>
      </c>
      <c r="AT6">
        <v>15900</v>
      </c>
      <c r="AU6" s="1">
        <v>45047</v>
      </c>
      <c r="AV6">
        <v>16300</v>
      </c>
      <c r="AW6" s="1"/>
      <c r="AY6">
        <v>42246810208</v>
      </c>
      <c r="AZ6">
        <v>49000</v>
      </c>
    </row>
    <row r="7" spans="1:52" x14ac:dyDescent="0.3">
      <c r="B7" s="3">
        <v>81071</v>
      </c>
      <c r="C7" t="s">
        <v>107</v>
      </c>
      <c r="D7">
        <v>67927</v>
      </c>
      <c r="E7">
        <f>D7*0.6</f>
        <v>40756.199999999997</v>
      </c>
      <c r="I7">
        <v>1400000</v>
      </c>
      <c r="L7">
        <f>L5-L6</f>
        <v>100337.85999999999</v>
      </c>
      <c r="O7">
        <v>2000</v>
      </c>
      <c r="P7" t="s">
        <v>109</v>
      </c>
      <c r="Q7">
        <v>2200</v>
      </c>
      <c r="R7" t="s">
        <v>515</v>
      </c>
      <c r="AB7">
        <v>1070140</v>
      </c>
      <c r="AC7">
        <f>0.09*AB7</f>
        <v>96312.599999999991</v>
      </c>
      <c r="AD7">
        <f>SUM(AB7:AC7)</f>
        <v>1166452.6000000001</v>
      </c>
      <c r="AG7" t="s">
        <v>927</v>
      </c>
      <c r="AM7" s="1">
        <v>42156</v>
      </c>
      <c r="AN7">
        <v>7800</v>
      </c>
      <c r="AO7" s="1">
        <v>42887</v>
      </c>
      <c r="AQ7" s="1">
        <v>43617</v>
      </c>
      <c r="AR7">
        <v>0</v>
      </c>
      <c r="AS7" s="1">
        <v>44348</v>
      </c>
      <c r="AT7">
        <v>15700</v>
      </c>
      <c r="AU7" s="1">
        <v>45078</v>
      </c>
      <c r="AV7">
        <v>16300</v>
      </c>
      <c r="AW7" s="1"/>
      <c r="AY7">
        <v>41061151001</v>
      </c>
      <c r="AZ7">
        <v>49000</v>
      </c>
    </row>
    <row r="8" spans="1:52" x14ac:dyDescent="0.3">
      <c r="B8" s="3">
        <v>33000</v>
      </c>
      <c r="C8" t="s">
        <v>12</v>
      </c>
      <c r="D8">
        <v>35000</v>
      </c>
      <c r="I8">
        <f>I7/11</f>
        <v>127272.72727272728</v>
      </c>
      <c r="O8">
        <v>49672</v>
      </c>
      <c r="P8" t="s">
        <v>512</v>
      </c>
      <c r="Q8">
        <v>4000</v>
      </c>
      <c r="R8" t="s">
        <v>515</v>
      </c>
      <c r="T8">
        <v>4000</v>
      </c>
      <c r="Y8">
        <f>145523*3</f>
        <v>436569</v>
      </c>
      <c r="AA8">
        <v>145523</v>
      </c>
      <c r="AB8">
        <v>51468</v>
      </c>
      <c r="AC8">
        <f>0.09*AB8</f>
        <v>4632.12</v>
      </c>
      <c r="AD8">
        <f>SUM(AB8:AC8)</f>
        <v>56100.12</v>
      </c>
      <c r="AG8" t="s">
        <v>531</v>
      </c>
      <c r="AM8" s="1">
        <v>42186</v>
      </c>
      <c r="AN8">
        <v>8300</v>
      </c>
      <c r="AO8" s="1">
        <v>42917</v>
      </c>
      <c r="AQ8" s="1">
        <v>43647</v>
      </c>
      <c r="AR8">
        <v>0</v>
      </c>
      <c r="AS8" s="1">
        <v>44378</v>
      </c>
      <c r="AT8">
        <v>15800</v>
      </c>
      <c r="AU8" s="1">
        <v>45108</v>
      </c>
      <c r="AV8">
        <v>16300</v>
      </c>
      <c r="AW8" s="1"/>
      <c r="AY8">
        <v>42773181631</v>
      </c>
      <c r="AZ8">
        <v>49000</v>
      </c>
    </row>
    <row r="9" spans="1:52" x14ac:dyDescent="0.3">
      <c r="A9">
        <f>SUM(B8:B13)</f>
        <v>107979</v>
      </c>
      <c r="B9" s="3">
        <v>1400</v>
      </c>
      <c r="C9" t="s">
        <v>108</v>
      </c>
      <c r="D9">
        <v>1400</v>
      </c>
      <c r="O9">
        <f>SUM(O3:O8)</f>
        <v>90472</v>
      </c>
      <c r="P9" t="s">
        <v>513</v>
      </c>
      <c r="Q9" s="4">
        <v>50476</v>
      </c>
      <c r="R9" t="s">
        <v>515</v>
      </c>
      <c r="T9">
        <v>50476</v>
      </c>
      <c r="Y9" s="3">
        <v>145523</v>
      </c>
      <c r="AA9">
        <v>9729</v>
      </c>
      <c r="AB9">
        <v>128412</v>
      </c>
      <c r="AC9">
        <f>AB9*0.09</f>
        <v>11557.08</v>
      </c>
      <c r="AD9">
        <f>SUM(AB9:AC9)</f>
        <v>139969.07999999999</v>
      </c>
      <c r="AG9" t="s">
        <v>525</v>
      </c>
      <c r="AM9" s="1">
        <v>42217</v>
      </c>
      <c r="AN9">
        <v>8300</v>
      </c>
      <c r="AO9" s="1">
        <v>42948</v>
      </c>
      <c r="AP9">
        <v>11000</v>
      </c>
      <c r="AQ9" s="1">
        <v>43678</v>
      </c>
      <c r="AS9" s="1">
        <v>44409</v>
      </c>
      <c r="AT9">
        <v>15800</v>
      </c>
      <c r="AU9" s="1">
        <v>45139</v>
      </c>
      <c r="AV9">
        <v>16300</v>
      </c>
      <c r="AW9" s="1"/>
    </row>
    <row r="10" spans="1:52" x14ac:dyDescent="0.3">
      <c r="A10">
        <f>A9*12</f>
        <v>1295748</v>
      </c>
      <c r="B10" s="3">
        <v>200</v>
      </c>
      <c r="C10" t="s">
        <v>327</v>
      </c>
      <c r="D10">
        <v>200</v>
      </c>
      <c r="O10">
        <f>O9/2</f>
        <v>45236</v>
      </c>
      <c r="P10" t="s">
        <v>6</v>
      </c>
      <c r="Q10">
        <v>9729</v>
      </c>
      <c r="W10">
        <v>1417499</v>
      </c>
      <c r="X10">
        <v>508850</v>
      </c>
      <c r="Y10" s="3">
        <v>24727</v>
      </c>
      <c r="AA10">
        <v>9729</v>
      </c>
      <c r="AD10">
        <v>1553610</v>
      </c>
      <c r="AG10" t="s">
        <v>328</v>
      </c>
      <c r="AM10" s="1">
        <v>42248</v>
      </c>
      <c r="AN10">
        <v>8000</v>
      </c>
      <c r="AO10" s="1">
        <v>42979</v>
      </c>
      <c r="AP10">
        <v>10500</v>
      </c>
      <c r="AQ10" s="1">
        <v>43709</v>
      </c>
      <c r="AR10">
        <v>18000</v>
      </c>
      <c r="AS10" s="1">
        <v>44440</v>
      </c>
      <c r="AT10">
        <v>15500</v>
      </c>
      <c r="AU10" s="1">
        <v>45170</v>
      </c>
      <c r="AV10">
        <v>16300</v>
      </c>
      <c r="AW10" s="1"/>
      <c r="AZ10">
        <f>SUM(AZ2:AZ8)</f>
        <v>392000</v>
      </c>
    </row>
    <row r="11" spans="1:52" x14ac:dyDescent="0.3">
      <c r="B11">
        <v>2000</v>
      </c>
      <c r="C11" t="s">
        <v>110</v>
      </c>
      <c r="D11">
        <v>2000</v>
      </c>
      <c r="H11" t="s">
        <v>447</v>
      </c>
      <c r="I11" s="4"/>
      <c r="J11" t="s">
        <v>448</v>
      </c>
      <c r="K11" s="4" t="s">
        <v>222</v>
      </c>
      <c r="L11" s="4" t="s">
        <v>113</v>
      </c>
      <c r="M11" s="4" t="s">
        <v>114</v>
      </c>
      <c r="P11" t="s">
        <v>22</v>
      </c>
      <c r="Q11">
        <v>3900</v>
      </c>
      <c r="W11">
        <v>1205140</v>
      </c>
      <c r="X11">
        <v>3415</v>
      </c>
      <c r="Y11" s="3">
        <f>2200*3</f>
        <v>6600</v>
      </c>
      <c r="AM11" s="1">
        <v>42278</v>
      </c>
      <c r="AN11">
        <v>8000</v>
      </c>
      <c r="AO11" s="1">
        <v>43009</v>
      </c>
      <c r="AP11">
        <v>10500</v>
      </c>
      <c r="AQ11" s="1">
        <v>43739</v>
      </c>
      <c r="AR11">
        <v>15000</v>
      </c>
      <c r="AS11" s="1">
        <v>44470</v>
      </c>
      <c r="AT11">
        <v>16000</v>
      </c>
      <c r="AU11" s="1">
        <v>45200</v>
      </c>
      <c r="AV11">
        <v>16300</v>
      </c>
      <c r="AW11" s="1"/>
    </row>
    <row r="12" spans="1:52" x14ac:dyDescent="0.3">
      <c r="B12">
        <v>2200</v>
      </c>
      <c r="C12" t="s">
        <v>109</v>
      </c>
      <c r="D12">
        <v>2200</v>
      </c>
      <c r="F12" s="83">
        <v>3960784</v>
      </c>
      <c r="G12" t="s">
        <v>107</v>
      </c>
      <c r="H12" s="4">
        <f>74720*12</f>
        <v>896640</v>
      </c>
      <c r="I12" s="4">
        <f>H12*0.085</f>
        <v>76214.400000000009</v>
      </c>
      <c r="J12" s="4">
        <f>SUM(H12:I12)</f>
        <v>972854.4</v>
      </c>
      <c r="K12" s="4">
        <f>J12/12</f>
        <v>81071.199999999997</v>
      </c>
      <c r="L12" s="4">
        <f>K12*0.12</f>
        <v>9728.5439999999999</v>
      </c>
      <c r="M12" s="4">
        <f>K12*0.4</f>
        <v>32428.48</v>
      </c>
      <c r="Q12">
        <f>SUM(Q1:Q11)</f>
        <v>202679</v>
      </c>
      <c r="R12">
        <f>Q12*12</f>
        <v>2432148</v>
      </c>
      <c r="S12">
        <f>R12*0.4</f>
        <v>972859.20000000007</v>
      </c>
      <c r="T12">
        <f>S12/12</f>
        <v>81071.600000000006</v>
      </c>
      <c r="W12">
        <v>9502</v>
      </c>
      <c r="X12">
        <f>SUM(X10:X11)</f>
        <v>512265</v>
      </c>
      <c r="Y12">
        <f>SUM(Y9:Y11)</f>
        <v>176850</v>
      </c>
      <c r="AA12">
        <v>2619</v>
      </c>
      <c r="AE12">
        <v>162590</v>
      </c>
      <c r="AF12">
        <v>215490</v>
      </c>
      <c r="AM12" s="1">
        <v>42309</v>
      </c>
      <c r="AN12">
        <v>8000</v>
      </c>
      <c r="AO12" s="1">
        <v>43040</v>
      </c>
      <c r="AP12">
        <v>10900</v>
      </c>
      <c r="AQ12" s="1">
        <v>43770</v>
      </c>
      <c r="AS12" s="1">
        <v>44501</v>
      </c>
      <c r="AT12">
        <v>18000</v>
      </c>
      <c r="AU12" s="1">
        <v>45231</v>
      </c>
      <c r="AV12">
        <v>16300</v>
      </c>
      <c r="AW12" s="1"/>
    </row>
    <row r="13" spans="1:52" x14ac:dyDescent="0.3">
      <c r="B13" s="3">
        <v>69179</v>
      </c>
      <c r="C13" t="s">
        <v>328</v>
      </c>
      <c r="D13">
        <v>49672</v>
      </c>
      <c r="F13">
        <v>200000</v>
      </c>
      <c r="G13" s="105" t="s">
        <v>445</v>
      </c>
      <c r="H13" s="4">
        <v>150720</v>
      </c>
      <c r="I13" s="4">
        <f>H13*0.085</f>
        <v>12811.2</v>
      </c>
      <c r="J13" s="4">
        <f>SUM(H13:I13)</f>
        <v>163531.20000000001</v>
      </c>
      <c r="K13" s="4">
        <f>J13/12</f>
        <v>13627.6</v>
      </c>
      <c r="L13" s="4"/>
      <c r="M13" s="4" t="s">
        <v>107</v>
      </c>
      <c r="N13">
        <v>815128</v>
      </c>
      <c r="U13">
        <f>SUM(U15:U19)</f>
        <v>2433111</v>
      </c>
      <c r="W13">
        <v>8077</v>
      </c>
      <c r="Y13">
        <f>Y12*3</f>
        <v>530550</v>
      </c>
      <c r="AA13">
        <v>3900</v>
      </c>
      <c r="AE13">
        <v>10701</v>
      </c>
      <c r="AF13">
        <v>10701</v>
      </c>
      <c r="AM13" s="1">
        <v>42339</v>
      </c>
      <c r="AN13">
        <v>8500</v>
      </c>
      <c r="AO13" s="1">
        <v>43070</v>
      </c>
      <c r="AP13">
        <v>10500</v>
      </c>
      <c r="AQ13" s="1">
        <v>43800</v>
      </c>
      <c r="AS13" s="1">
        <v>44531</v>
      </c>
      <c r="AT13">
        <v>13000</v>
      </c>
      <c r="AU13" s="1">
        <v>45261</v>
      </c>
      <c r="AV13">
        <v>16300</v>
      </c>
      <c r="AW13" s="1"/>
    </row>
    <row r="14" spans="1:52" x14ac:dyDescent="0.3">
      <c r="C14">
        <f>SUM(C2:C4)</f>
        <v>2037812</v>
      </c>
      <c r="D14">
        <f>SUM(D7:D13)</f>
        <v>158399</v>
      </c>
      <c r="F14">
        <f>SUM(F12:F13)</f>
        <v>4160784</v>
      </c>
      <c r="G14" t="s">
        <v>446</v>
      </c>
      <c r="H14" s="4">
        <v>1194240</v>
      </c>
      <c r="I14" s="4">
        <f>H14*0.085</f>
        <v>101510.40000000001</v>
      </c>
      <c r="J14" s="4">
        <f>SUM(H14:I14)</f>
        <v>1295750.3999999999</v>
      </c>
      <c r="K14" s="4">
        <f>J14/12</f>
        <v>107979.2</v>
      </c>
      <c r="L14" s="4">
        <v>-40800</v>
      </c>
      <c r="M14" s="4"/>
      <c r="N14">
        <v>1085664</v>
      </c>
      <c r="P14">
        <f>SUM(N13:N14)</f>
        <v>1900792</v>
      </c>
      <c r="W14">
        <f>SUM(W10:W13)</f>
        <v>2640218</v>
      </c>
      <c r="AA14">
        <v>2200</v>
      </c>
      <c r="AE14">
        <v>10701</v>
      </c>
      <c r="AF14">
        <v>10701</v>
      </c>
      <c r="AM14" s="1">
        <v>42370</v>
      </c>
      <c r="AN14">
        <v>9000</v>
      </c>
      <c r="AO14" s="1">
        <v>43101</v>
      </c>
      <c r="AP14">
        <v>10500</v>
      </c>
      <c r="AQ14" s="1">
        <v>43831</v>
      </c>
      <c r="AR14">
        <v>0</v>
      </c>
      <c r="AS14" s="1">
        <v>44562</v>
      </c>
      <c r="AT14">
        <v>15300</v>
      </c>
      <c r="AU14" s="1">
        <v>45292</v>
      </c>
      <c r="AV14">
        <v>16300</v>
      </c>
    </row>
    <row r="15" spans="1:52" x14ac:dyDescent="0.3">
      <c r="F15">
        <v>1400000</v>
      </c>
      <c r="H15" s="4">
        <f>SUM(H12:H14)</f>
        <v>2241600</v>
      </c>
      <c r="I15" s="4"/>
      <c r="J15" s="109">
        <f>SUM(J12:J14)</f>
        <v>2432136</v>
      </c>
      <c r="K15" s="4">
        <f>SUM(K12,K14)</f>
        <v>189050.4</v>
      </c>
      <c r="L15" s="4"/>
      <c r="M15" s="4"/>
      <c r="N15">
        <v>137020</v>
      </c>
      <c r="P15">
        <v>12</v>
      </c>
      <c r="R15" t="s">
        <v>190</v>
      </c>
      <c r="S15">
        <f>1250*12</f>
        <v>15000</v>
      </c>
      <c r="U15">
        <v>2195163</v>
      </c>
      <c r="AA15">
        <f>SUM(AA8:AA14)</f>
        <v>173700</v>
      </c>
      <c r="AE15">
        <v>-1250</v>
      </c>
      <c r="AF15">
        <v>-1250</v>
      </c>
      <c r="AM15" s="1">
        <v>42401</v>
      </c>
      <c r="AN15">
        <v>10500</v>
      </c>
      <c r="AO15" s="1">
        <v>43132</v>
      </c>
      <c r="AP15">
        <v>10900</v>
      </c>
      <c r="AQ15" s="1">
        <v>43862</v>
      </c>
      <c r="AR15">
        <v>29000</v>
      </c>
      <c r="AS15" s="1">
        <v>44593</v>
      </c>
      <c r="AT15">
        <v>15200</v>
      </c>
      <c r="AU15" s="1">
        <v>45323</v>
      </c>
      <c r="AV15">
        <v>16300</v>
      </c>
    </row>
    <row r="16" spans="1:52" x14ac:dyDescent="0.3">
      <c r="B16">
        <v>170040</v>
      </c>
      <c r="F16">
        <f>SUM(F14:F15)</f>
        <v>5560784</v>
      </c>
      <c r="H16" s="4">
        <f>H15/12</f>
        <v>186800</v>
      </c>
      <c r="I16" s="4"/>
      <c r="J16" s="4">
        <f>J15/12</f>
        <v>202678</v>
      </c>
      <c r="K16" s="4"/>
      <c r="L16" s="4"/>
      <c r="M16" s="4"/>
      <c r="R16" t="s">
        <v>527</v>
      </c>
      <c r="S16">
        <v>1394288</v>
      </c>
      <c r="T16" t="s">
        <v>529</v>
      </c>
      <c r="U16">
        <v>48000</v>
      </c>
      <c r="AA16">
        <v>16000</v>
      </c>
      <c r="AE16">
        <v>669</v>
      </c>
      <c r="AF16">
        <v>669</v>
      </c>
      <c r="AM16" s="1">
        <v>42430</v>
      </c>
      <c r="AO16" s="1">
        <v>43160</v>
      </c>
      <c r="AP16">
        <v>10600</v>
      </c>
      <c r="AQ16" s="1">
        <v>43891</v>
      </c>
      <c r="AR16">
        <v>0</v>
      </c>
      <c r="AS16" s="1">
        <v>44621</v>
      </c>
      <c r="AT16">
        <v>15000</v>
      </c>
      <c r="AU16" s="1">
        <v>45352</v>
      </c>
      <c r="AV16">
        <v>16500</v>
      </c>
    </row>
    <row r="17" spans="1:52" x14ac:dyDescent="0.3">
      <c r="B17">
        <v>666000</v>
      </c>
      <c r="K17" s="1"/>
      <c r="R17" t="s">
        <v>113</v>
      </c>
      <c r="S17">
        <v>116748</v>
      </c>
      <c r="T17" t="s">
        <v>109</v>
      </c>
      <c r="U17">
        <v>26400</v>
      </c>
      <c r="AA17">
        <f>SUM(AA15:AA16)</f>
        <v>189700</v>
      </c>
      <c r="AE17">
        <v>2200</v>
      </c>
      <c r="AF17">
        <v>2200</v>
      </c>
      <c r="AM17" s="1">
        <v>42461</v>
      </c>
      <c r="AN17">
        <v>11200</v>
      </c>
      <c r="AO17" s="1">
        <v>43191</v>
      </c>
      <c r="AP17">
        <v>10700</v>
      </c>
      <c r="AQ17" s="1">
        <v>43922</v>
      </c>
      <c r="AR17">
        <v>27000</v>
      </c>
      <c r="AS17" s="1">
        <v>44652</v>
      </c>
      <c r="AT17">
        <v>15200</v>
      </c>
      <c r="AU17" s="1">
        <v>45383</v>
      </c>
      <c r="AV17">
        <v>17400</v>
      </c>
    </row>
    <row r="18" spans="1:52" x14ac:dyDescent="0.3">
      <c r="B18">
        <v>103496</v>
      </c>
      <c r="H18">
        <f>SUM(H12,H14)</f>
        <v>2090880</v>
      </c>
      <c r="I18">
        <f>H18*0.066</f>
        <v>137998.08000000002</v>
      </c>
      <c r="J18">
        <f>I18*0.3</f>
        <v>41399.424000000006</v>
      </c>
      <c r="K18">
        <f>I18-J18</f>
        <v>96598.656000000017</v>
      </c>
      <c r="L18">
        <v>134467</v>
      </c>
      <c r="N18">
        <v>97812</v>
      </c>
      <c r="R18" t="s">
        <v>265</v>
      </c>
      <c r="S18">
        <v>31428</v>
      </c>
      <c r="T18" t="s">
        <v>22</v>
      </c>
      <c r="U18">
        <f>3900*12</f>
        <v>46800</v>
      </c>
      <c r="AE18">
        <v>4289</v>
      </c>
      <c r="AF18">
        <v>4289</v>
      </c>
      <c r="AM18" s="1">
        <v>42491</v>
      </c>
      <c r="AN18">
        <v>9700</v>
      </c>
      <c r="AO18" s="1">
        <v>43221</v>
      </c>
      <c r="AP18">
        <v>10600</v>
      </c>
      <c r="AQ18" s="1">
        <v>43952</v>
      </c>
      <c r="AR18">
        <v>14000</v>
      </c>
      <c r="AS18" s="1">
        <v>44682</v>
      </c>
      <c r="AT18">
        <v>15000</v>
      </c>
      <c r="AU18" s="1">
        <v>45413</v>
      </c>
      <c r="AV18">
        <v>17000</v>
      </c>
    </row>
    <row r="19" spans="1:52" x14ac:dyDescent="0.3">
      <c r="B19">
        <v>1811</v>
      </c>
      <c r="N19">
        <v>39208</v>
      </c>
      <c r="R19" t="s">
        <v>22</v>
      </c>
      <c r="S19">
        <f>3900*12</f>
        <v>46800</v>
      </c>
      <c r="T19" t="s">
        <v>530</v>
      </c>
      <c r="U19">
        <f>9729*12</f>
        <v>116748</v>
      </c>
      <c r="AE19">
        <v>16300</v>
      </c>
      <c r="AF19">
        <v>16300</v>
      </c>
      <c r="AM19" s="1">
        <v>42522</v>
      </c>
      <c r="AN19">
        <v>10000</v>
      </c>
      <c r="AO19" s="1">
        <v>43252</v>
      </c>
      <c r="AP19">
        <v>0</v>
      </c>
      <c r="AQ19" s="1">
        <v>43983</v>
      </c>
      <c r="AR19">
        <v>14000</v>
      </c>
      <c r="AS19" s="1">
        <v>44713</v>
      </c>
      <c r="AT19">
        <v>16500</v>
      </c>
      <c r="AU19" s="1">
        <v>45444</v>
      </c>
      <c r="AV19">
        <v>17000</v>
      </c>
    </row>
    <row r="20" spans="1:52" x14ac:dyDescent="0.3">
      <c r="B20">
        <v>28699</v>
      </c>
      <c r="E20">
        <v>100000</v>
      </c>
      <c r="F20">
        <v>138.88999999999999</v>
      </c>
      <c r="G20">
        <f>E20/F20</f>
        <v>719.99424004607965</v>
      </c>
      <c r="R20" t="s">
        <v>528</v>
      </c>
      <c r="S20">
        <f>8479*12</f>
        <v>101748</v>
      </c>
      <c r="AE20">
        <f>SUM(AE12:AE19)</f>
        <v>206200</v>
      </c>
      <c r="AF20">
        <f>SUM(AF12:AF19)</f>
        <v>259100</v>
      </c>
      <c r="AM20" s="1">
        <v>42552</v>
      </c>
      <c r="AN20">
        <v>10700</v>
      </c>
      <c r="AO20" s="1">
        <v>43282</v>
      </c>
      <c r="AP20">
        <v>21000</v>
      </c>
      <c r="AQ20" s="1">
        <v>44013</v>
      </c>
      <c r="AR20">
        <v>14000</v>
      </c>
      <c r="AS20" s="1">
        <v>44743</v>
      </c>
      <c r="AT20">
        <v>16400</v>
      </c>
      <c r="AU20" s="1">
        <v>45474</v>
      </c>
      <c r="AV20">
        <v>17100</v>
      </c>
    </row>
    <row r="21" spans="1:52" x14ac:dyDescent="0.3">
      <c r="B21">
        <f>SUM(B17:B20)</f>
        <v>800006</v>
      </c>
      <c r="E21">
        <f>F21*G20</f>
        <v>101108.79112967096</v>
      </c>
      <c r="F21">
        <v>140.43</v>
      </c>
      <c r="K21">
        <v>1907136</v>
      </c>
      <c r="M21" t="s">
        <v>337</v>
      </c>
      <c r="N21">
        <v>2400</v>
      </c>
      <c r="O21">
        <v>200</v>
      </c>
      <c r="R21" t="s">
        <v>109</v>
      </c>
      <c r="S21">
        <f>12*2200</f>
        <v>26400</v>
      </c>
      <c r="X21">
        <v>40</v>
      </c>
      <c r="Y21">
        <v>16760</v>
      </c>
      <c r="Z21">
        <f>Y21*2.5</f>
        <v>41900</v>
      </c>
      <c r="AM21" s="1">
        <v>42583</v>
      </c>
      <c r="AN21">
        <v>10400</v>
      </c>
      <c r="AO21" s="1">
        <v>43313</v>
      </c>
      <c r="AQ21" s="1">
        <v>44044</v>
      </c>
      <c r="AR21">
        <v>0</v>
      </c>
      <c r="AS21" s="1">
        <v>44774</v>
      </c>
      <c r="AT21">
        <v>16400</v>
      </c>
      <c r="AU21" s="1">
        <v>45505</v>
      </c>
      <c r="AV21">
        <v>17200</v>
      </c>
    </row>
    <row r="22" spans="1:52" x14ac:dyDescent="0.3">
      <c r="B22">
        <v>-18000</v>
      </c>
      <c r="G22">
        <v>8966</v>
      </c>
      <c r="H22">
        <v>9728</v>
      </c>
      <c r="K22">
        <f>K21*0.3</f>
        <v>572140.79999999993</v>
      </c>
      <c r="M22" t="s">
        <v>338</v>
      </c>
      <c r="N22">
        <v>2320</v>
      </c>
      <c r="O22">
        <f>N22/12</f>
        <v>193.33333333333334</v>
      </c>
      <c r="R22" t="s">
        <v>512</v>
      </c>
      <c r="S22">
        <f>4000*12</f>
        <v>48000</v>
      </c>
      <c r="X22">
        <v>60</v>
      </c>
      <c r="Y22">
        <v>41900</v>
      </c>
      <c r="Z22">
        <v>806</v>
      </c>
      <c r="AM22" s="1">
        <v>42614</v>
      </c>
      <c r="AN22">
        <v>10000</v>
      </c>
      <c r="AO22" s="1">
        <v>43344</v>
      </c>
      <c r="AQ22" s="1">
        <v>44075</v>
      </c>
      <c r="AR22">
        <v>27000</v>
      </c>
      <c r="AS22" s="1">
        <v>44805</v>
      </c>
      <c r="AT22">
        <v>15800</v>
      </c>
      <c r="AU22" s="1">
        <v>45536</v>
      </c>
      <c r="AV22">
        <v>17000</v>
      </c>
    </row>
    <row r="23" spans="1:52" x14ac:dyDescent="0.3">
      <c r="B23">
        <f>SUM(B21:B22)</f>
        <v>782006</v>
      </c>
      <c r="G23">
        <v>8966</v>
      </c>
      <c r="H23">
        <v>9728</v>
      </c>
      <c r="K23">
        <f>K21-K22</f>
        <v>1334995.2000000002</v>
      </c>
      <c r="M23" t="s">
        <v>339</v>
      </c>
      <c r="N23">
        <v>2266</v>
      </c>
      <c r="O23">
        <f>N23/12</f>
        <v>188.83333333333334</v>
      </c>
      <c r="R23" t="s">
        <v>420</v>
      </c>
      <c r="S23">
        <v>326383</v>
      </c>
      <c r="W23" s="134" t="s">
        <v>816</v>
      </c>
      <c r="X23" s="134" t="s">
        <v>817</v>
      </c>
      <c r="Y23">
        <f>SUM(Y21:Y22)</f>
        <v>58660</v>
      </c>
      <c r="AM23" s="1">
        <v>42644</v>
      </c>
      <c r="AN23">
        <v>10000</v>
      </c>
      <c r="AO23" s="1">
        <v>43374</v>
      </c>
      <c r="AP23">
        <v>11000</v>
      </c>
      <c r="AQ23" s="1">
        <v>44105</v>
      </c>
      <c r="AR23">
        <v>14500</v>
      </c>
      <c r="AS23" s="1">
        <v>44835</v>
      </c>
      <c r="AT23">
        <v>16300</v>
      </c>
      <c r="AU23" s="1">
        <v>45566</v>
      </c>
      <c r="AV23">
        <v>17000</v>
      </c>
    </row>
    <row r="24" spans="1:52" x14ac:dyDescent="0.3">
      <c r="G24">
        <v>-1250</v>
      </c>
      <c r="H24">
        <v>-1250</v>
      </c>
      <c r="K24">
        <v>100338</v>
      </c>
      <c r="L24">
        <v>37</v>
      </c>
      <c r="S24">
        <f>SUM(S15:S23)</f>
        <v>2106795</v>
      </c>
      <c r="V24" s="134"/>
      <c r="W24" s="134">
        <v>2675350</v>
      </c>
      <c r="X24" s="134">
        <f>W24/12</f>
        <v>222945.83333333334</v>
      </c>
      <c r="AA24">
        <f>SUM(AA25:AA33)</f>
        <v>205755.2</v>
      </c>
      <c r="AB24">
        <v>10701</v>
      </c>
      <c r="AC24">
        <v>2200</v>
      </c>
      <c r="AD24">
        <v>4289</v>
      </c>
      <c r="AF24" t="s">
        <v>107</v>
      </c>
      <c r="AG24">
        <v>1070140</v>
      </c>
      <c r="AH24">
        <f>AG24*0.09</f>
        <v>96312.599999999991</v>
      </c>
      <c r="AI24">
        <f>SUM(AG24:AH24)</f>
        <v>1166452.6000000001</v>
      </c>
      <c r="AJ24">
        <f>AI24/12</f>
        <v>97204.383333333346</v>
      </c>
      <c r="AM24" s="1">
        <v>42675</v>
      </c>
      <c r="AN24">
        <v>11000</v>
      </c>
      <c r="AO24" s="1">
        <v>43405</v>
      </c>
      <c r="AP24">
        <v>12000</v>
      </c>
      <c r="AQ24" s="1">
        <v>44136</v>
      </c>
      <c r="AR24">
        <v>13700</v>
      </c>
      <c r="AS24" s="1">
        <v>44866</v>
      </c>
      <c r="AT24">
        <v>16000</v>
      </c>
      <c r="AU24" s="1">
        <v>45597</v>
      </c>
    </row>
    <row r="25" spans="1:52" x14ac:dyDescent="0.3">
      <c r="B25">
        <f>SUM(B26:B38)</f>
        <v>804898</v>
      </c>
      <c r="D25">
        <v>8151</v>
      </c>
      <c r="F25">
        <f>G25*12</f>
        <v>200184</v>
      </c>
      <c r="G25">
        <f>SUM(G22:G24)</f>
        <v>16682</v>
      </c>
      <c r="H25">
        <f>SUM(H22:H24)</f>
        <v>18206</v>
      </c>
      <c r="I25">
        <f>H25*12</f>
        <v>218472</v>
      </c>
      <c r="K25">
        <f>SUM(K23:K24)</f>
        <v>1435333.2000000002</v>
      </c>
      <c r="N25">
        <v>24</v>
      </c>
      <c r="O25">
        <v>365</v>
      </c>
      <c r="P25">
        <f>O25/N25</f>
        <v>15.208333333333334</v>
      </c>
      <c r="Q25">
        <v>149</v>
      </c>
      <c r="T25">
        <v>89178</v>
      </c>
      <c r="U25">
        <v>89178</v>
      </c>
      <c r="V25" s="135" t="s">
        <v>107</v>
      </c>
      <c r="W25" s="134">
        <f>W24*0.4</f>
        <v>1070140</v>
      </c>
      <c r="X25" s="134">
        <f>W25/12</f>
        <v>89178.333333333328</v>
      </c>
      <c r="Y25">
        <f>X25*0.4</f>
        <v>35671.333333333336</v>
      </c>
      <c r="AA25">
        <v>89178</v>
      </c>
      <c r="AB25" t="s">
        <v>107</v>
      </c>
      <c r="AF25" t="s">
        <v>928</v>
      </c>
      <c r="AG25">
        <v>1425322</v>
      </c>
      <c r="AH25">
        <f>AG25*0.09</f>
        <v>128278.98</v>
      </c>
      <c r="AI25">
        <f>SUM(AG25:AH25)</f>
        <v>1553600.98</v>
      </c>
      <c r="AJ25">
        <f t="shared" ref="AJ25:AJ27" si="0">AI25/12</f>
        <v>129466.74833333334</v>
      </c>
      <c r="AM25" s="1">
        <v>42705</v>
      </c>
      <c r="AN25">
        <v>23000</v>
      </c>
      <c r="AO25" s="1">
        <v>43435</v>
      </c>
      <c r="AP25">
        <v>14900</v>
      </c>
      <c r="AQ25" s="1">
        <v>44166</v>
      </c>
      <c r="AR25">
        <v>13700</v>
      </c>
      <c r="AS25" s="1">
        <v>44896</v>
      </c>
      <c r="AT25">
        <v>16400</v>
      </c>
      <c r="AU25" s="1">
        <v>45627</v>
      </c>
    </row>
    <row r="26" spans="1:52" x14ac:dyDescent="0.3">
      <c r="A26" t="s">
        <v>386</v>
      </c>
      <c r="B26">
        <v>782606</v>
      </c>
      <c r="D26">
        <v>6901</v>
      </c>
      <c r="F26">
        <f>4110*12</f>
        <v>49320</v>
      </c>
      <c r="I26">
        <f>2600*12</f>
        <v>31200</v>
      </c>
      <c r="K26">
        <f>K25/12</f>
        <v>119611.10000000002</v>
      </c>
      <c r="O26">
        <v>2400</v>
      </c>
      <c r="P26">
        <f>P25*Q25</f>
        <v>2266.041666666667</v>
      </c>
      <c r="Q26">
        <f>O26-P26</f>
        <v>133.95833333333303</v>
      </c>
      <c r="V26" s="134" t="s">
        <v>22</v>
      </c>
      <c r="W26" s="136">
        <f>(W25*4.81)/100</f>
        <v>51473.733999999997</v>
      </c>
      <c r="X26" s="137">
        <f>W26/12</f>
        <v>4289.4778333333334</v>
      </c>
      <c r="Z26">
        <f>SUM(W25,W28,W30,W31,W32,W33)</f>
        <v>1780010</v>
      </c>
      <c r="AA26">
        <f>AA25*0.4</f>
        <v>35671.200000000004</v>
      </c>
      <c r="AB26" t="s">
        <v>289</v>
      </c>
      <c r="AF26" t="s">
        <v>531</v>
      </c>
      <c r="AG26">
        <v>51474</v>
      </c>
      <c r="AH26">
        <f>AG26*0.09</f>
        <v>4632.66</v>
      </c>
      <c r="AI26">
        <f>SUM(AG26:AH26)</f>
        <v>56106.66</v>
      </c>
      <c r="AJ26">
        <f t="shared" si="0"/>
        <v>4675.5550000000003</v>
      </c>
      <c r="AN26">
        <f>SUM(AN2:AN25)</f>
        <v>189400</v>
      </c>
      <c r="AP26">
        <f>SUM(AP2:AP25)</f>
        <v>178600</v>
      </c>
      <c r="AR26">
        <f>SUM(AR2:AR25)</f>
        <v>258200</v>
      </c>
      <c r="AT26">
        <f>SUM(AT2:AT25)</f>
        <v>362100</v>
      </c>
      <c r="AV26">
        <f>SUM(AV2:AV25)</f>
        <v>364400</v>
      </c>
    </row>
    <row r="27" spans="1:52" x14ac:dyDescent="0.3">
      <c r="A27" t="s">
        <v>410</v>
      </c>
      <c r="B27">
        <v>3320</v>
      </c>
      <c r="I27">
        <f>SUM(I25:I26)</f>
        <v>249672</v>
      </c>
      <c r="K27">
        <v>10000</v>
      </c>
      <c r="V27" s="134" t="s">
        <v>6</v>
      </c>
      <c r="W27" s="136">
        <f>W25*0.12</f>
        <v>128416.79999999999</v>
      </c>
      <c r="X27" s="137">
        <f>W27/12</f>
        <v>10701.4</v>
      </c>
      <c r="Y27">
        <v>2619</v>
      </c>
      <c r="Z27">
        <f>SUM(W26,W27)</f>
        <v>179890.53399999999</v>
      </c>
      <c r="AA27">
        <v>200</v>
      </c>
      <c r="AB27" t="s">
        <v>477</v>
      </c>
      <c r="AC27" s="26" t="s">
        <v>822</v>
      </c>
      <c r="AD27" s="26">
        <v>32400</v>
      </c>
      <c r="AF27" t="s">
        <v>525</v>
      </c>
      <c r="AG27">
        <v>128417</v>
      </c>
      <c r="AH27">
        <f>AG27*0.09</f>
        <v>11557.529999999999</v>
      </c>
      <c r="AI27">
        <f>SUM(AG27:AH27)</f>
        <v>139974.53</v>
      </c>
      <c r="AJ27">
        <f t="shared" si="0"/>
        <v>11664.544166666667</v>
      </c>
    </row>
    <row r="28" spans="1:52" x14ac:dyDescent="0.3">
      <c r="A28" t="s">
        <v>411</v>
      </c>
      <c r="B28">
        <v>5000</v>
      </c>
      <c r="K28" s="1"/>
      <c r="N28">
        <v>365</v>
      </c>
      <c r="O28">
        <v>336</v>
      </c>
      <c r="P28">
        <f>N28-O28</f>
        <v>29</v>
      </c>
      <c r="T28">
        <v>44500</v>
      </c>
      <c r="U28">
        <v>35500</v>
      </c>
      <c r="V28" s="135" t="s">
        <v>289</v>
      </c>
      <c r="W28" s="134">
        <v>535070</v>
      </c>
      <c r="X28" s="134">
        <f>X25*0.5</f>
        <v>44589.166666666664</v>
      </c>
      <c r="Z28">
        <f>SUM(W29,W35)</f>
        <v>28800</v>
      </c>
      <c r="AA28">
        <v>1400</v>
      </c>
      <c r="AB28" t="s">
        <v>108</v>
      </c>
      <c r="AC28" s="26" t="s">
        <v>823</v>
      </c>
      <c r="AD28" s="26">
        <v>35600</v>
      </c>
      <c r="AS28">
        <f>SUM(AN26:AX26)</f>
        <v>1352700</v>
      </c>
    </row>
    <row r="29" spans="1:52" x14ac:dyDescent="0.3">
      <c r="A29" t="s">
        <v>412</v>
      </c>
      <c r="B29">
        <v>20</v>
      </c>
      <c r="F29" t="s">
        <v>322</v>
      </c>
      <c r="G29" t="s">
        <v>323</v>
      </c>
      <c r="H29" t="s">
        <v>325</v>
      </c>
      <c r="K29" s="1"/>
      <c r="N29">
        <v>2121</v>
      </c>
      <c r="O29">
        <v>199</v>
      </c>
      <c r="P29">
        <f>SUM(N29:O29)</f>
        <v>2320</v>
      </c>
      <c r="Q29">
        <f>P29-P26</f>
        <v>53.95833333333303</v>
      </c>
      <c r="T29">
        <v>200</v>
      </c>
      <c r="U29">
        <v>200</v>
      </c>
      <c r="V29" s="134" t="s">
        <v>477</v>
      </c>
      <c r="W29" s="134">
        <v>2400</v>
      </c>
      <c r="X29" s="134">
        <v>200</v>
      </c>
      <c r="Z29">
        <f>SUM(Z26:Z28)</f>
        <v>1988700.534</v>
      </c>
      <c r="AA29">
        <v>5000</v>
      </c>
      <c r="AB29" t="s">
        <v>485</v>
      </c>
      <c r="AC29" t="s">
        <v>824</v>
      </c>
      <c r="AD29">
        <v>470.82</v>
      </c>
      <c r="AE29">
        <v>209</v>
      </c>
      <c r="AF29" s="7">
        <v>45089</v>
      </c>
      <c r="AH29" s="3"/>
      <c r="AI29" s="109">
        <v>3480113</v>
      </c>
      <c r="AJ29" s="3"/>
      <c r="AK29" s="3"/>
      <c r="AN29">
        <v>-600000</v>
      </c>
      <c r="AP29">
        <f>SUM(AI29:AN29)</f>
        <v>2880113</v>
      </c>
    </row>
    <row r="30" spans="1:52" x14ac:dyDescent="0.3">
      <c r="A30" s="24" t="s">
        <v>413</v>
      </c>
      <c r="B30" s="24">
        <v>50</v>
      </c>
      <c r="C30">
        <v>150000</v>
      </c>
      <c r="F30">
        <v>15052</v>
      </c>
      <c r="G30">
        <v>15052</v>
      </c>
      <c r="H30">
        <v>15052</v>
      </c>
      <c r="J30">
        <f>31354*10</f>
        <v>313540</v>
      </c>
      <c r="K30" s="1"/>
      <c r="T30">
        <v>1400</v>
      </c>
      <c r="U30">
        <v>1400</v>
      </c>
      <c r="V30" s="135" t="s">
        <v>108</v>
      </c>
      <c r="W30" s="134">
        <v>16800</v>
      </c>
      <c r="X30" s="134">
        <v>1400</v>
      </c>
      <c r="Z30">
        <f>W24-Z29</f>
        <v>686649.46600000001</v>
      </c>
      <c r="AA30">
        <v>4167</v>
      </c>
      <c r="AB30" t="s">
        <v>110</v>
      </c>
      <c r="AC30" t="s">
        <v>323</v>
      </c>
      <c r="AD30">
        <v>470.82</v>
      </c>
      <c r="AE30">
        <v>209</v>
      </c>
      <c r="AF30" s="7">
        <v>45119</v>
      </c>
      <c r="AH30" s="3" t="s">
        <v>107</v>
      </c>
      <c r="AI30" s="3">
        <f>0.4*AI29</f>
        <v>1392045.2000000002</v>
      </c>
      <c r="AJ30" s="3">
        <f>AI30/12</f>
        <v>116003.76666666668</v>
      </c>
      <c r="AK30" s="3">
        <v>116004</v>
      </c>
      <c r="AL30">
        <v>116004</v>
      </c>
      <c r="AN30">
        <v>430200</v>
      </c>
      <c r="AO30" s="1"/>
      <c r="AP30" s="1"/>
      <c r="AQ30" s="1"/>
      <c r="AR30" s="1"/>
      <c r="AT30" s="1"/>
      <c r="AU30" s="1"/>
      <c r="AV30" s="1"/>
      <c r="AW30" s="1"/>
      <c r="AX30" s="1"/>
      <c r="AY30" s="1"/>
      <c r="AZ30" s="1"/>
    </row>
    <row r="31" spans="1:52" x14ac:dyDescent="0.3">
      <c r="A31" s="24" t="s">
        <v>415</v>
      </c>
      <c r="B31" s="24">
        <v>1000</v>
      </c>
      <c r="C31" s="3">
        <v>94062</v>
      </c>
      <c r="D31" s="3">
        <v>110000</v>
      </c>
      <c r="E31" s="4"/>
      <c r="F31" s="4">
        <v>16302</v>
      </c>
      <c r="G31" s="4">
        <v>16302</v>
      </c>
      <c r="H31" s="4">
        <v>16302</v>
      </c>
      <c r="J31">
        <f>110845*10</f>
        <v>1108450</v>
      </c>
      <c r="K31" s="1"/>
      <c r="T31">
        <v>5000</v>
      </c>
      <c r="U31">
        <v>5000</v>
      </c>
      <c r="V31" s="135" t="s">
        <v>485</v>
      </c>
      <c r="W31" s="134">
        <v>60000</v>
      </c>
      <c r="X31" s="134">
        <v>5000</v>
      </c>
      <c r="Z31">
        <f>Z30/12</f>
        <v>57220.788833333332</v>
      </c>
      <c r="AA31">
        <v>4000</v>
      </c>
      <c r="AB31" t="s">
        <v>529</v>
      </c>
      <c r="AC31" t="s">
        <v>825</v>
      </c>
      <c r="AD31">
        <v>380.28</v>
      </c>
      <c r="AE31">
        <v>209</v>
      </c>
      <c r="AF31" s="7">
        <v>45156</v>
      </c>
      <c r="AH31" s="3" t="s">
        <v>22</v>
      </c>
      <c r="AI31" s="3">
        <f>(4.81/100)*AI30</f>
        <v>66957.374120000008</v>
      </c>
      <c r="AJ31" s="3">
        <f>(4.81/100)*AJ30</f>
        <v>5579.7811766666664</v>
      </c>
      <c r="AK31" s="3">
        <v>5580</v>
      </c>
    </row>
    <row r="32" spans="1:52" x14ac:dyDescent="0.3">
      <c r="A32" s="24" t="s">
        <v>416</v>
      </c>
      <c r="B32" s="24">
        <v>42</v>
      </c>
      <c r="K32" s="1"/>
      <c r="O32" s="113" t="s">
        <v>22</v>
      </c>
      <c r="P32" t="s">
        <v>476</v>
      </c>
      <c r="R32">
        <f>(4.81*81071)/100</f>
        <v>3899.5150999999996</v>
      </c>
      <c r="T32">
        <v>4167</v>
      </c>
      <c r="U32">
        <v>4167</v>
      </c>
      <c r="V32" s="135" t="s">
        <v>110</v>
      </c>
      <c r="W32" s="134">
        <v>50000</v>
      </c>
      <c r="X32" s="134">
        <v>4167</v>
      </c>
      <c r="AA32">
        <v>66139</v>
      </c>
      <c r="AB32" t="s">
        <v>328</v>
      </c>
      <c r="AC32" t="s">
        <v>575</v>
      </c>
      <c r="AD32">
        <v>1178.82</v>
      </c>
      <c r="AE32">
        <v>209</v>
      </c>
      <c r="AF32" s="7">
        <v>45191</v>
      </c>
      <c r="AH32" s="3" t="s">
        <v>6</v>
      </c>
      <c r="AI32" s="3">
        <f>AI30*0.12</f>
        <v>167045.42400000003</v>
      </c>
      <c r="AJ32" s="3">
        <f>AJ30*0.12</f>
        <v>13920.452000000001</v>
      </c>
      <c r="AK32" s="3">
        <v>13920</v>
      </c>
      <c r="AN32">
        <f>SUM(AI31:AI32)</f>
        <v>234002.79812000005</v>
      </c>
    </row>
    <row r="33" spans="1:51" x14ac:dyDescent="0.3">
      <c r="A33" t="s">
        <v>417</v>
      </c>
      <c r="B33">
        <v>35</v>
      </c>
      <c r="F33">
        <v>2000</v>
      </c>
      <c r="G33">
        <v>2000</v>
      </c>
      <c r="H33">
        <v>2000</v>
      </c>
      <c r="J33">
        <v>6000</v>
      </c>
      <c r="K33" s="1"/>
      <c r="O33" t="s">
        <v>486</v>
      </c>
      <c r="T33">
        <v>4000</v>
      </c>
      <c r="U33">
        <v>4000</v>
      </c>
      <c r="V33" s="135" t="s">
        <v>529</v>
      </c>
      <c r="W33" s="134">
        <v>48000</v>
      </c>
      <c r="X33" s="134">
        <v>4000</v>
      </c>
      <c r="AC33" t="s">
        <v>576</v>
      </c>
      <c r="AD33">
        <v>1152.22</v>
      </c>
      <c r="AE33">
        <v>209</v>
      </c>
      <c r="AF33" s="7">
        <v>45258</v>
      </c>
      <c r="AH33" s="3" t="s">
        <v>599</v>
      </c>
      <c r="AI33" s="3">
        <f>AI29-(AI30+AI31+AI32)</f>
        <v>1854065.0018799996</v>
      </c>
      <c r="AJ33" s="3">
        <f>AI33/12</f>
        <v>154505.4168233333</v>
      </c>
      <c r="AK33" s="3">
        <v>58002</v>
      </c>
      <c r="AL33">
        <v>58002</v>
      </c>
      <c r="AV33">
        <f>SUM(AV34:AV40)</f>
        <v>233203</v>
      </c>
      <c r="AW33">
        <v>17300</v>
      </c>
      <c r="AY33">
        <f>SUM(AV33:AX33)</f>
        <v>250503</v>
      </c>
    </row>
    <row r="34" spans="1:51" x14ac:dyDescent="0.3">
      <c r="A34" t="s">
        <v>428</v>
      </c>
      <c r="B34">
        <v>2010</v>
      </c>
      <c r="C34" s="83">
        <v>135100</v>
      </c>
      <c r="D34" s="3">
        <v>332538</v>
      </c>
      <c r="E34" s="83">
        <v>50000</v>
      </c>
      <c r="K34" s="1"/>
      <c r="T34">
        <v>57221</v>
      </c>
      <c r="U34">
        <v>66306</v>
      </c>
      <c r="V34" s="134" t="s">
        <v>815</v>
      </c>
      <c r="W34" s="134">
        <v>686652</v>
      </c>
      <c r="X34" s="134">
        <v>57221</v>
      </c>
      <c r="Y34">
        <f>X34-X27-Y27</f>
        <v>43900.6</v>
      </c>
      <c r="AC34" t="s">
        <v>818</v>
      </c>
      <c r="AD34">
        <v>1178.82</v>
      </c>
      <c r="AE34">
        <v>666</v>
      </c>
      <c r="AF34" s="7">
        <v>44932</v>
      </c>
      <c r="AG34">
        <f>AI31*0.4</f>
        <v>26782.949648000005</v>
      </c>
      <c r="AH34" s="3"/>
      <c r="AI34" s="3"/>
      <c r="AJ34" s="3">
        <f>SUM(AJ30:AJ33)</f>
        <v>290009.41666666663</v>
      </c>
      <c r="AK34" s="3">
        <v>200</v>
      </c>
      <c r="AL34">
        <v>200</v>
      </c>
      <c r="AV34">
        <v>174497</v>
      </c>
    </row>
    <row r="35" spans="1:51" x14ac:dyDescent="0.3">
      <c r="C35" s="83">
        <v>643000</v>
      </c>
      <c r="J35" t="s">
        <v>6</v>
      </c>
      <c r="K35">
        <v>7560</v>
      </c>
      <c r="N35">
        <v>101000</v>
      </c>
      <c r="V35" s="134" t="s">
        <v>109</v>
      </c>
      <c r="W35" s="134">
        <v>26400</v>
      </c>
      <c r="X35" s="137">
        <v>2200</v>
      </c>
      <c r="AC35" t="s">
        <v>577</v>
      </c>
      <c r="AD35">
        <v>1178.82</v>
      </c>
      <c r="AE35" s="4">
        <v>209</v>
      </c>
      <c r="AH35" s="3"/>
      <c r="AI35" s="3"/>
      <c r="AJ35" s="3"/>
      <c r="AK35" s="3">
        <v>3500</v>
      </c>
      <c r="AL35">
        <v>3500</v>
      </c>
      <c r="AM35" s="51"/>
      <c r="AV35">
        <v>11665</v>
      </c>
    </row>
    <row r="36" spans="1:51" x14ac:dyDescent="0.3">
      <c r="J36" t="s">
        <v>352</v>
      </c>
      <c r="K36">
        <v>6310</v>
      </c>
      <c r="N36">
        <v>-12500</v>
      </c>
      <c r="Y36">
        <v>195755</v>
      </c>
      <c r="AC36" t="s">
        <v>578</v>
      </c>
      <c r="AD36">
        <v>1178.82</v>
      </c>
      <c r="AH36" s="3"/>
      <c r="AI36" s="3"/>
      <c r="AJ36" s="3"/>
      <c r="AK36" s="3">
        <v>5000</v>
      </c>
      <c r="AL36">
        <v>5000</v>
      </c>
      <c r="AV36">
        <v>11665</v>
      </c>
    </row>
    <row r="37" spans="1:51" x14ac:dyDescent="0.3">
      <c r="A37" t="s">
        <v>914</v>
      </c>
      <c r="B37">
        <v>10815</v>
      </c>
      <c r="C37" s="15">
        <v>45523</v>
      </c>
      <c r="F37">
        <v>134467</v>
      </c>
      <c r="G37">
        <v>20792</v>
      </c>
      <c r="J37" t="s">
        <v>247</v>
      </c>
      <c r="K37">
        <v>16379</v>
      </c>
      <c r="N37">
        <v>-50000</v>
      </c>
      <c r="S37">
        <f>SUM(T25,T28,T29,T30,T31,T32,T33,T34)</f>
        <v>205666</v>
      </c>
      <c r="T37">
        <v>-32000</v>
      </c>
      <c r="U37">
        <f>SUM(U25:U34)</f>
        <v>205751</v>
      </c>
      <c r="V37">
        <v>-10701</v>
      </c>
      <c r="W37" s="134">
        <v>-2619</v>
      </c>
      <c r="X37" s="134">
        <v>-200</v>
      </c>
      <c r="Y37">
        <v>-33000</v>
      </c>
      <c r="AC37" t="s">
        <v>826</v>
      </c>
      <c r="AD37">
        <v>1178.82</v>
      </c>
      <c r="AH37" s="3">
        <v>248271</v>
      </c>
      <c r="AI37" s="3"/>
      <c r="AJ37" s="3"/>
      <c r="AK37" s="3">
        <v>4167</v>
      </c>
      <c r="AL37">
        <v>4167</v>
      </c>
      <c r="AV37">
        <v>2200</v>
      </c>
    </row>
    <row r="38" spans="1:51" x14ac:dyDescent="0.3">
      <c r="A38" t="s">
        <v>918</v>
      </c>
      <c r="C38" s="15">
        <v>45161</v>
      </c>
      <c r="J38" t="s">
        <v>239</v>
      </c>
      <c r="K38">
        <v>12500</v>
      </c>
      <c r="AC38" t="s">
        <v>827</v>
      </c>
      <c r="AH38" s="3">
        <v>153954</v>
      </c>
      <c r="AI38" s="3"/>
      <c r="AJ38" s="3"/>
      <c r="AK38" s="3">
        <v>4000</v>
      </c>
      <c r="AL38">
        <v>4000</v>
      </c>
      <c r="AV38">
        <v>4676</v>
      </c>
    </row>
    <row r="39" spans="1:51" x14ac:dyDescent="0.3">
      <c r="A39" t="s">
        <v>924</v>
      </c>
      <c r="B39" s="15">
        <v>45255</v>
      </c>
      <c r="C39" t="s">
        <v>925</v>
      </c>
      <c r="K39" s="4">
        <f>SUM(K35:K38)</f>
        <v>42749</v>
      </c>
      <c r="M39" s="114">
        <v>44652</v>
      </c>
      <c r="N39" s="114"/>
      <c r="O39" s="114"/>
      <c r="P39" s="114">
        <v>44652</v>
      </c>
      <c r="Q39" s="114">
        <v>44682</v>
      </c>
      <c r="R39" s="114">
        <v>44713</v>
      </c>
      <c r="S39" s="114">
        <v>44743</v>
      </c>
      <c r="T39" s="114">
        <v>44774</v>
      </c>
      <c r="U39" s="114">
        <v>44805</v>
      </c>
      <c r="V39" s="114">
        <v>44835</v>
      </c>
      <c r="W39" s="114">
        <v>44866</v>
      </c>
      <c r="X39" s="114">
        <v>44896</v>
      </c>
      <c r="Y39" s="114">
        <v>44927</v>
      </c>
      <c r="Z39" s="114">
        <v>44958</v>
      </c>
      <c r="AA39" s="114">
        <v>44986</v>
      </c>
      <c r="AC39" t="s">
        <v>571</v>
      </c>
      <c r="AH39" s="3">
        <f>SUM(AH37:AH38)</f>
        <v>402225</v>
      </c>
      <c r="AI39" s="3"/>
      <c r="AJ39" s="3"/>
      <c r="AK39" s="3"/>
      <c r="AV39">
        <v>15000</v>
      </c>
    </row>
    <row r="40" spans="1:51" x14ac:dyDescent="0.3">
      <c r="A40" t="s">
        <v>961</v>
      </c>
      <c r="C40" t="s">
        <v>962</v>
      </c>
      <c r="G40" s="4"/>
      <c r="L40" t="s">
        <v>527</v>
      </c>
      <c r="M40">
        <v>143148</v>
      </c>
      <c r="O40" t="s">
        <v>527</v>
      </c>
      <c r="P40">
        <v>143148</v>
      </c>
      <c r="Q40">
        <v>143186</v>
      </c>
      <c r="R40">
        <v>143187</v>
      </c>
      <c r="S40">
        <v>155992</v>
      </c>
      <c r="T40">
        <v>145523</v>
      </c>
      <c r="U40">
        <v>145523</v>
      </c>
      <c r="V40">
        <v>145523</v>
      </c>
      <c r="W40">
        <v>145523</v>
      </c>
      <c r="X40">
        <v>171352</v>
      </c>
      <c r="Y40">
        <v>157043</v>
      </c>
      <c r="AC40" t="s">
        <v>572</v>
      </c>
      <c r="AH40" s="3">
        <v>-40000</v>
      </c>
      <c r="AI40" s="3"/>
      <c r="AJ40" s="3"/>
      <c r="AK40" s="3">
        <v>79637</v>
      </c>
      <c r="AL40">
        <v>79637</v>
      </c>
      <c r="AM40" s="51"/>
      <c r="AV40">
        <v>13500</v>
      </c>
    </row>
    <row r="41" spans="1:51" x14ac:dyDescent="0.3">
      <c r="L41" t="s">
        <v>493</v>
      </c>
      <c r="M41">
        <v>20827</v>
      </c>
      <c r="O41" t="s">
        <v>7</v>
      </c>
      <c r="Y41">
        <v>16300</v>
      </c>
      <c r="Z41">
        <v>16300</v>
      </c>
      <c r="AA41">
        <v>16300</v>
      </c>
      <c r="AH41" s="3">
        <v>-50000</v>
      </c>
      <c r="AI41" s="3"/>
      <c r="AJ41" s="3"/>
      <c r="AK41" s="109">
        <f>SUM(AK30:AK40)</f>
        <v>290010</v>
      </c>
      <c r="AL41">
        <f>SUM(AL30:AL40)</f>
        <v>270510</v>
      </c>
      <c r="AM41" s="51"/>
      <c r="AV41">
        <v>7350</v>
      </c>
    </row>
    <row r="42" spans="1:51" x14ac:dyDescent="0.3">
      <c r="L42" t="s">
        <v>531</v>
      </c>
      <c r="M42">
        <v>3900</v>
      </c>
      <c r="O42" t="s">
        <v>6</v>
      </c>
      <c r="P42">
        <v>20827</v>
      </c>
      <c r="Q42">
        <v>20827</v>
      </c>
      <c r="R42">
        <v>20827</v>
      </c>
      <c r="S42">
        <v>20827</v>
      </c>
      <c r="T42">
        <v>20827</v>
      </c>
      <c r="U42">
        <v>20827</v>
      </c>
      <c r="V42">
        <v>20827</v>
      </c>
      <c r="W42">
        <v>20827</v>
      </c>
      <c r="X42">
        <v>20827</v>
      </c>
      <c r="Y42">
        <v>23032</v>
      </c>
      <c r="AD42">
        <f>SUM(AD29:AD40)</f>
        <v>8368.24</v>
      </c>
      <c r="AE42">
        <f>SUM(AE29:AE40)</f>
        <v>1920</v>
      </c>
      <c r="AH42">
        <f>SUM(AH39:AH41)</f>
        <v>312225</v>
      </c>
      <c r="AK42" s="3">
        <v>252117</v>
      </c>
      <c r="AV42">
        <v>35850</v>
      </c>
    </row>
    <row r="43" spans="1:51" x14ac:dyDescent="0.3">
      <c r="B43" s="3" t="s">
        <v>1072</v>
      </c>
      <c r="D43" s="3" t="s">
        <v>1077</v>
      </c>
      <c r="I43">
        <v>11665</v>
      </c>
      <c r="K43">
        <v>2614766</v>
      </c>
      <c r="L43" t="s">
        <v>405</v>
      </c>
      <c r="M43">
        <v>15000</v>
      </c>
      <c r="O43" t="s">
        <v>531</v>
      </c>
      <c r="P43">
        <v>3900</v>
      </c>
      <c r="Q43">
        <v>3900</v>
      </c>
      <c r="R43">
        <v>3900</v>
      </c>
      <c r="S43">
        <v>3900</v>
      </c>
      <c r="T43">
        <v>3900</v>
      </c>
      <c r="U43">
        <v>3900</v>
      </c>
      <c r="V43">
        <v>3900</v>
      </c>
      <c r="W43">
        <v>3900</v>
      </c>
      <c r="X43">
        <v>3900</v>
      </c>
      <c r="Y43">
        <v>4289</v>
      </c>
      <c r="AV43">
        <f>AV42*12</f>
        <v>430200</v>
      </c>
    </row>
    <row r="44" spans="1:51" x14ac:dyDescent="0.3">
      <c r="A44">
        <v>1</v>
      </c>
      <c r="B44" t="s">
        <v>1073</v>
      </c>
      <c r="D44" t="s">
        <v>1074</v>
      </c>
      <c r="I44">
        <v>-1250</v>
      </c>
      <c r="L44" t="s">
        <v>490</v>
      </c>
      <c r="M44">
        <v>-85000</v>
      </c>
      <c r="O44" t="s">
        <v>109</v>
      </c>
      <c r="P44">
        <v>2200</v>
      </c>
      <c r="Q44">
        <v>2200</v>
      </c>
      <c r="R44">
        <v>2200</v>
      </c>
      <c r="S44">
        <v>2200</v>
      </c>
      <c r="T44">
        <v>2200</v>
      </c>
      <c r="U44">
        <v>2200</v>
      </c>
      <c r="V44">
        <v>2200</v>
      </c>
      <c r="W44">
        <v>2200</v>
      </c>
      <c r="X44">
        <v>2200</v>
      </c>
      <c r="Y44">
        <v>2200</v>
      </c>
    </row>
    <row r="45" spans="1:51" x14ac:dyDescent="0.3">
      <c r="A45">
        <v>2</v>
      </c>
      <c r="B45" t="s">
        <v>1074</v>
      </c>
      <c r="D45" t="s">
        <v>1078</v>
      </c>
      <c r="I45">
        <f>SUM(I43:I44)</f>
        <v>10415</v>
      </c>
      <c r="L45" s="51"/>
      <c r="M45" s="51"/>
      <c r="N45" s="1"/>
      <c r="P45" s="3">
        <f>SUM(P40:P44)</f>
        <v>170075</v>
      </c>
      <c r="Q45">
        <f>SUM(Q40:Q44)</f>
        <v>170113</v>
      </c>
      <c r="R45" s="3">
        <f t="shared" ref="R45:X45" si="1">SUM(R40:R44)</f>
        <v>170114</v>
      </c>
      <c r="S45">
        <f t="shared" si="1"/>
        <v>182919</v>
      </c>
      <c r="T45" s="3">
        <f t="shared" si="1"/>
        <v>172450</v>
      </c>
      <c r="U45">
        <f t="shared" si="1"/>
        <v>172450</v>
      </c>
      <c r="V45" s="3">
        <f t="shared" si="1"/>
        <v>172450</v>
      </c>
      <c r="W45">
        <f>SUM(W40:W44)</f>
        <v>172450</v>
      </c>
      <c r="X45" s="3">
        <f t="shared" si="1"/>
        <v>198279</v>
      </c>
      <c r="Y45">
        <f>SUM(Y40:Y44)</f>
        <v>202864</v>
      </c>
      <c r="AI45">
        <f>SUM(AI30,AI33)</f>
        <v>3246110.2018799996</v>
      </c>
    </row>
    <row r="46" spans="1:51" x14ac:dyDescent="0.3">
      <c r="A46">
        <v>3</v>
      </c>
      <c r="B46" t="s">
        <v>1075</v>
      </c>
      <c r="I46" s="109"/>
      <c r="N46" s="51"/>
      <c r="U46" s="4"/>
      <c r="AI46">
        <v>-75000</v>
      </c>
    </row>
    <row r="47" spans="1:51" x14ac:dyDescent="0.3">
      <c r="A47">
        <v>4</v>
      </c>
      <c r="B47" t="s">
        <v>1076</v>
      </c>
      <c r="I47" s="109"/>
      <c r="M47" s="4">
        <f>SUM(M40:M45)</f>
        <v>97875</v>
      </c>
      <c r="T47">
        <f>SUM(P45:X45)</f>
        <v>1581300</v>
      </c>
      <c r="V47" s="4"/>
      <c r="W47" s="4"/>
      <c r="X47" s="4"/>
      <c r="AI47">
        <f>SUM(AI45:AI46)</f>
        <v>3171110.2018799996</v>
      </c>
    </row>
    <row r="48" spans="1:51" x14ac:dyDescent="0.3">
      <c r="A48">
        <v>5</v>
      </c>
      <c r="I48" s="4"/>
      <c r="O48" s="4" t="s">
        <v>489</v>
      </c>
      <c r="P48" s="113">
        <v>202679</v>
      </c>
      <c r="Q48" s="1">
        <v>44986</v>
      </c>
      <c r="R48" s="1">
        <v>45017</v>
      </c>
      <c r="S48" s="1">
        <v>45047</v>
      </c>
      <c r="T48" s="1">
        <v>45078</v>
      </c>
      <c r="U48" s="1">
        <v>45108</v>
      </c>
      <c r="V48" s="1">
        <v>45139</v>
      </c>
      <c r="W48" s="1">
        <v>45170</v>
      </c>
      <c r="X48" s="1">
        <v>45200</v>
      </c>
      <c r="AI48">
        <v>-800000</v>
      </c>
    </row>
    <row r="49" spans="3:37" x14ac:dyDescent="0.3">
      <c r="I49" s="4"/>
      <c r="K49" s="3">
        <f>SUM(I48:I50)</f>
        <v>0</v>
      </c>
      <c r="L49" s="51"/>
      <c r="M49">
        <v>202679</v>
      </c>
      <c r="N49" s="4"/>
      <c r="Q49" s="113">
        <v>196532</v>
      </c>
      <c r="R49" s="113">
        <v>196532</v>
      </c>
      <c r="S49" s="113">
        <v>196532</v>
      </c>
      <c r="T49" s="113">
        <v>196532</v>
      </c>
      <c r="U49" s="113">
        <v>196532</v>
      </c>
      <c r="V49" s="113">
        <v>196532</v>
      </c>
      <c r="W49" s="113">
        <v>196532</v>
      </c>
      <c r="X49" s="113">
        <v>196532</v>
      </c>
      <c r="Z49" s="113"/>
      <c r="AI49">
        <f>SUM(AI47:AI48)</f>
        <v>2371110.2018799996</v>
      </c>
    </row>
    <row r="50" spans="3:37" x14ac:dyDescent="0.3">
      <c r="I50" s="4"/>
      <c r="L50" s="51"/>
      <c r="M50">
        <v>963</v>
      </c>
      <c r="P50" s="51"/>
      <c r="Q50" s="51">
        <v>-30000</v>
      </c>
      <c r="R50" s="51">
        <v>-30000</v>
      </c>
      <c r="S50" s="51">
        <v>-30000</v>
      </c>
      <c r="T50" s="51">
        <v>-30000</v>
      </c>
      <c r="U50" s="51">
        <v>-30000</v>
      </c>
      <c r="V50" s="51">
        <v>-30000</v>
      </c>
      <c r="W50" s="51">
        <v>-30000</v>
      </c>
      <c r="X50" s="51">
        <v>-30000</v>
      </c>
      <c r="Z50" s="51"/>
      <c r="AA50">
        <f>10701*2</f>
        <v>21402</v>
      </c>
      <c r="AB50">
        <v>-1250</v>
      </c>
      <c r="AC50">
        <f>SUM(AA50:AB50)</f>
        <v>20152</v>
      </c>
      <c r="AD50">
        <v>2880</v>
      </c>
    </row>
    <row r="51" spans="3:37" x14ac:dyDescent="0.3">
      <c r="I51" s="4"/>
      <c r="M51">
        <f>SUM(M49:M50)</f>
        <v>203642</v>
      </c>
      <c r="Q51">
        <f>SUM(Q49:Q50)</f>
        <v>166532</v>
      </c>
      <c r="R51">
        <f>SUM(R49:R50)</f>
        <v>166532</v>
      </c>
      <c r="S51" s="1"/>
      <c r="AE51">
        <f>89178*0.075</f>
        <v>6688.3499999999995</v>
      </c>
      <c r="AH51" s="198" t="s">
        <v>1120</v>
      </c>
      <c r="AI51" s="198" t="s">
        <v>1121</v>
      </c>
      <c r="AJ51" s="198" t="s">
        <v>1122</v>
      </c>
      <c r="AK51" s="198" t="s">
        <v>1123</v>
      </c>
    </row>
    <row r="52" spans="3:37" ht="15.6" x14ac:dyDescent="0.3">
      <c r="S52" s="1"/>
      <c r="AE52">
        <f>97204*0.0075</f>
        <v>729.03</v>
      </c>
      <c r="AH52" s="199">
        <v>0</v>
      </c>
      <c r="AI52" s="200">
        <v>400000</v>
      </c>
      <c r="AJ52" s="201" t="s">
        <v>1124</v>
      </c>
      <c r="AK52" s="199">
        <v>0</v>
      </c>
    </row>
    <row r="53" spans="3:37" ht="15.6" x14ac:dyDescent="0.3">
      <c r="S53" s="1"/>
      <c r="AH53" s="200">
        <v>400001</v>
      </c>
      <c r="AI53" s="200">
        <v>800000</v>
      </c>
      <c r="AJ53" s="201" t="s">
        <v>1125</v>
      </c>
      <c r="AK53" s="200">
        <v>20000</v>
      </c>
    </row>
    <row r="54" spans="3:37" ht="15.6" x14ac:dyDescent="0.3">
      <c r="I54" s="109"/>
      <c r="M54" s="114">
        <v>44287</v>
      </c>
      <c r="N54" s="114">
        <v>44317</v>
      </c>
      <c r="O54" s="114">
        <v>44348</v>
      </c>
      <c r="P54" s="114">
        <v>44378</v>
      </c>
      <c r="Q54" s="114">
        <v>44409</v>
      </c>
      <c r="R54" s="114">
        <v>44440</v>
      </c>
      <c r="S54" s="114">
        <v>44470</v>
      </c>
      <c r="T54" s="114">
        <v>44501</v>
      </c>
      <c r="U54" s="114">
        <v>44531</v>
      </c>
      <c r="V54" s="114">
        <v>44582</v>
      </c>
      <c r="W54" s="114">
        <v>44593</v>
      </c>
      <c r="X54" s="114">
        <v>44621</v>
      </c>
      <c r="Z54" t="s">
        <v>494</v>
      </c>
      <c r="AA54" t="s">
        <v>495</v>
      </c>
      <c r="AC54" t="s">
        <v>496</v>
      </c>
      <c r="AD54" t="s">
        <v>492</v>
      </c>
      <c r="AH54" s="200">
        <v>800001</v>
      </c>
      <c r="AI54" s="200">
        <v>1200000</v>
      </c>
      <c r="AJ54" s="201" t="s">
        <v>1126</v>
      </c>
      <c r="AK54" s="200">
        <v>40000</v>
      </c>
    </row>
    <row r="55" spans="3:37" ht="15.6" x14ac:dyDescent="0.3">
      <c r="I55" s="109"/>
      <c r="L55" t="s">
        <v>489</v>
      </c>
      <c r="M55">
        <v>184800</v>
      </c>
      <c r="N55">
        <v>184800</v>
      </c>
      <c r="O55">
        <v>184800</v>
      </c>
      <c r="P55">
        <v>184800</v>
      </c>
      <c r="Q55">
        <v>184800</v>
      </c>
      <c r="R55">
        <v>184800</v>
      </c>
      <c r="S55">
        <v>184800</v>
      </c>
      <c r="T55">
        <v>184800</v>
      </c>
      <c r="U55">
        <v>320497</v>
      </c>
      <c r="V55">
        <v>200678</v>
      </c>
      <c r="W55">
        <v>200678</v>
      </c>
      <c r="X55">
        <v>224678</v>
      </c>
      <c r="AB55">
        <f>SUM(M55:X55)</f>
        <v>2424931</v>
      </c>
      <c r="AH55" s="200">
        <v>1200001</v>
      </c>
      <c r="AI55" s="200">
        <v>1600000</v>
      </c>
      <c r="AJ55" s="201" t="s">
        <v>1127</v>
      </c>
      <c r="AK55" s="200">
        <v>60000</v>
      </c>
    </row>
    <row r="56" spans="3:37" ht="15.6" x14ac:dyDescent="0.3">
      <c r="L56" t="s">
        <v>492</v>
      </c>
      <c r="M56">
        <v>-22297</v>
      </c>
      <c r="N56">
        <v>-22297</v>
      </c>
      <c r="O56">
        <v>-22297</v>
      </c>
      <c r="P56">
        <v>-22297</v>
      </c>
      <c r="Q56">
        <v>-22297</v>
      </c>
      <c r="R56">
        <v>-22297</v>
      </c>
      <c r="S56">
        <v>-22297</v>
      </c>
      <c r="T56">
        <v>-22297</v>
      </c>
      <c r="U56">
        <v>-64633</v>
      </c>
      <c r="V56">
        <v>-27314</v>
      </c>
      <c r="W56">
        <v>-34804</v>
      </c>
      <c r="X56">
        <v>-42286</v>
      </c>
      <c r="AD56">
        <f>SUM(M56:X56)</f>
        <v>-347413</v>
      </c>
      <c r="AH56" s="200">
        <v>1600001</v>
      </c>
      <c r="AI56" s="200">
        <v>2000000</v>
      </c>
      <c r="AJ56" s="201" t="s">
        <v>1128</v>
      </c>
      <c r="AK56" s="200">
        <v>80000</v>
      </c>
    </row>
    <row r="57" spans="3:37" ht="15.6" x14ac:dyDescent="0.3">
      <c r="L57" t="s">
        <v>405</v>
      </c>
      <c r="M57">
        <v>16000</v>
      </c>
      <c r="N57">
        <v>15900</v>
      </c>
      <c r="O57">
        <v>15700</v>
      </c>
      <c r="P57">
        <v>15800</v>
      </c>
      <c r="Q57">
        <v>15800</v>
      </c>
      <c r="R57">
        <v>15500</v>
      </c>
      <c r="S57">
        <v>16000</v>
      </c>
      <c r="T57">
        <v>18000</v>
      </c>
      <c r="U57">
        <v>13000</v>
      </c>
      <c r="V57">
        <v>15300</v>
      </c>
      <c r="W57">
        <v>15200</v>
      </c>
      <c r="X57">
        <v>15000</v>
      </c>
      <c r="AD57">
        <f>SUM(Z59:AA59)</f>
        <v>318391</v>
      </c>
      <c r="AH57" s="200">
        <v>2000001</v>
      </c>
      <c r="AI57" s="200">
        <v>2400000</v>
      </c>
      <c r="AJ57" s="201" t="s">
        <v>1129</v>
      </c>
      <c r="AK57" s="200">
        <v>100000</v>
      </c>
    </row>
    <row r="58" spans="3:37" ht="15.6" x14ac:dyDescent="0.3">
      <c r="C58">
        <f>67927*12</f>
        <v>815124</v>
      </c>
      <c r="D58">
        <f>C58*0.1</f>
        <v>81512.400000000009</v>
      </c>
      <c r="E58">
        <f>C58+D58</f>
        <v>896636.4</v>
      </c>
      <c r="G58">
        <f>E58/12</f>
        <v>74719.7</v>
      </c>
      <c r="H58">
        <f>G58*0.12</f>
        <v>8966.3639999999996</v>
      </c>
      <c r="I58">
        <f>8966-1250</f>
        <v>7716</v>
      </c>
      <c r="K58">
        <f>G58*0.5</f>
        <v>37359.85</v>
      </c>
      <c r="L58" t="s">
        <v>490</v>
      </c>
      <c r="M58">
        <v>-17379</v>
      </c>
      <c r="N58">
        <v>-21222</v>
      </c>
      <c r="O58">
        <v>-16847</v>
      </c>
      <c r="P58">
        <v>-36777</v>
      </c>
      <c r="Q58">
        <v>-32165</v>
      </c>
      <c r="R58">
        <v>-16294</v>
      </c>
      <c r="S58">
        <v>-83381</v>
      </c>
      <c r="T58">
        <v>-17403</v>
      </c>
      <c r="U58">
        <v>-18788</v>
      </c>
      <c r="V58">
        <v>-22960</v>
      </c>
      <c r="W58">
        <v>-17891</v>
      </c>
      <c r="X58">
        <v>-24710</v>
      </c>
      <c r="AD58">
        <f>SUM(AD56:AD57)</f>
        <v>-29022</v>
      </c>
      <c r="AH58" s="200">
        <v>2400001</v>
      </c>
      <c r="AI58" s="200">
        <v>2986990</v>
      </c>
      <c r="AJ58" s="201" t="s">
        <v>1130</v>
      </c>
      <c r="AK58" s="200">
        <v>176097</v>
      </c>
    </row>
    <row r="59" spans="3:37" x14ac:dyDescent="0.3">
      <c r="C59">
        <v>137020</v>
      </c>
      <c r="D59">
        <f>C59*0.1</f>
        <v>13702</v>
      </c>
      <c r="E59">
        <f>C59+D59</f>
        <v>150722</v>
      </c>
      <c r="G59">
        <f>E59/12</f>
        <v>12560.166666666666</v>
      </c>
      <c r="I59">
        <f>G58*0.4</f>
        <v>29887.88</v>
      </c>
      <c r="M59" s="4">
        <f>SUM(M55:M58)</f>
        <v>161124</v>
      </c>
      <c r="N59" s="4">
        <f>SUM(N55:N58)</f>
        <v>157181</v>
      </c>
      <c r="O59" s="4">
        <f t="shared" ref="O59:U59" si="2">SUM(O55:O58)</f>
        <v>161356</v>
      </c>
      <c r="P59" s="4">
        <f t="shared" si="2"/>
        <v>141526</v>
      </c>
      <c r="Q59" s="4">
        <f t="shared" si="2"/>
        <v>146138</v>
      </c>
      <c r="R59" s="4">
        <f t="shared" si="2"/>
        <v>161709</v>
      </c>
      <c r="S59" s="4">
        <f t="shared" si="2"/>
        <v>95122</v>
      </c>
      <c r="T59" s="4">
        <f t="shared" si="2"/>
        <v>163100</v>
      </c>
      <c r="U59" s="4">
        <f t="shared" si="2"/>
        <v>250076</v>
      </c>
      <c r="V59" s="4">
        <f>SUM(V55:V58)</f>
        <v>165704</v>
      </c>
      <c r="W59" s="4">
        <f>SUM(W55:W58)</f>
        <v>163183</v>
      </c>
      <c r="X59" s="4">
        <f>SUM(X55:X58)</f>
        <v>172682</v>
      </c>
      <c r="Z59">
        <v>222779</v>
      </c>
      <c r="AA59">
        <v>95612</v>
      </c>
      <c r="AC59" s="4">
        <f>SUM(M59:AA59)</f>
        <v>2257292</v>
      </c>
      <c r="AH59" s="232" t="s">
        <v>1131</v>
      </c>
      <c r="AI59" s="233"/>
      <c r="AJ59" s="234"/>
      <c r="AK59" s="200">
        <v>476098</v>
      </c>
    </row>
    <row r="60" spans="3:37" x14ac:dyDescent="0.3">
      <c r="C60">
        <v>1085664</v>
      </c>
      <c r="D60">
        <f>C60*0.1</f>
        <v>108566.40000000001</v>
      </c>
      <c r="E60">
        <f>C60+D60</f>
        <v>1194230.3999999999</v>
      </c>
      <c r="G60">
        <f>E60/12</f>
        <v>99519.2</v>
      </c>
      <c r="I60">
        <f>G58*0.5</f>
        <v>37359.85</v>
      </c>
      <c r="L60" t="s">
        <v>493</v>
      </c>
      <c r="M60">
        <v>-20917</v>
      </c>
      <c r="N60">
        <v>-20917</v>
      </c>
      <c r="O60">
        <v>-20917</v>
      </c>
      <c r="P60">
        <v>-20917</v>
      </c>
      <c r="Q60">
        <v>-20917</v>
      </c>
      <c r="R60">
        <v>-20917</v>
      </c>
      <c r="S60">
        <v>-20917</v>
      </c>
      <c r="T60">
        <v>-20917</v>
      </c>
      <c r="U60">
        <v>-20917</v>
      </c>
      <c r="V60">
        <v>-18208</v>
      </c>
      <c r="W60">
        <v>-18208</v>
      </c>
      <c r="X60">
        <v>-18208</v>
      </c>
    </row>
    <row r="61" spans="3:37" x14ac:dyDescent="0.3">
      <c r="C61">
        <f>SUM(C58:C60)</f>
        <v>2037808</v>
      </c>
      <c r="E61">
        <f>SUM(E58:E60)</f>
        <v>2241588.7999999998</v>
      </c>
      <c r="G61">
        <f>SUM(G58:G60)</f>
        <v>186799.06666666665</v>
      </c>
      <c r="I61">
        <f>G58*0.6</f>
        <v>44831.82</v>
      </c>
      <c r="L61" t="s">
        <v>22</v>
      </c>
      <c r="M61">
        <v>-3594</v>
      </c>
      <c r="N61">
        <v>-3594</v>
      </c>
      <c r="O61">
        <v>-3594</v>
      </c>
      <c r="P61">
        <v>-3594</v>
      </c>
      <c r="Q61">
        <v>-3594</v>
      </c>
      <c r="R61">
        <v>-3594</v>
      </c>
      <c r="S61">
        <v>-3594</v>
      </c>
      <c r="T61">
        <v>-3594</v>
      </c>
      <c r="U61">
        <v>-3594</v>
      </c>
      <c r="V61">
        <v>-2983</v>
      </c>
      <c r="W61">
        <v>-2983</v>
      </c>
      <c r="X61">
        <v>-2983</v>
      </c>
      <c r="AC61">
        <f>AB55-AC59</f>
        <v>167639</v>
      </c>
      <c r="AF61">
        <v>173028</v>
      </c>
      <c r="AH61" s="198" t="s">
        <v>1120</v>
      </c>
      <c r="AI61" s="198" t="s">
        <v>1121</v>
      </c>
      <c r="AJ61" s="198" t="s">
        <v>1122</v>
      </c>
      <c r="AK61" s="198" t="s">
        <v>1123</v>
      </c>
    </row>
    <row r="62" spans="3:37" ht="15.6" x14ac:dyDescent="0.3">
      <c r="M62">
        <f>SUM(M59:M61)</f>
        <v>136613</v>
      </c>
      <c r="N62">
        <f>SUM(N59:N61)</f>
        <v>132670</v>
      </c>
      <c r="O62">
        <f t="shared" ref="O62:X62" si="3">SUM(O59:O61)</f>
        <v>136845</v>
      </c>
      <c r="P62">
        <f t="shared" si="3"/>
        <v>117015</v>
      </c>
      <c r="Q62">
        <f t="shared" si="3"/>
        <v>121627</v>
      </c>
      <c r="R62">
        <f t="shared" si="3"/>
        <v>137198</v>
      </c>
      <c r="S62">
        <f t="shared" si="3"/>
        <v>70611</v>
      </c>
      <c r="T62">
        <f t="shared" si="3"/>
        <v>138589</v>
      </c>
      <c r="U62">
        <f t="shared" si="3"/>
        <v>225565</v>
      </c>
      <c r="V62">
        <f t="shared" si="3"/>
        <v>144513</v>
      </c>
      <c r="W62">
        <f t="shared" si="3"/>
        <v>141992</v>
      </c>
      <c r="X62">
        <f t="shared" si="3"/>
        <v>151491</v>
      </c>
      <c r="AH62" s="199">
        <v>0</v>
      </c>
      <c r="AI62" s="200">
        <v>400000</v>
      </c>
      <c r="AJ62" s="201" t="s">
        <v>1124</v>
      </c>
      <c r="AK62" s="199">
        <v>0</v>
      </c>
    </row>
    <row r="63" spans="3:37" ht="15.6" x14ac:dyDescent="0.3">
      <c r="AH63" s="200">
        <v>400001</v>
      </c>
      <c r="AI63" s="200">
        <v>800000</v>
      </c>
      <c r="AJ63" s="201" t="s">
        <v>1125</v>
      </c>
      <c r="AK63" s="200">
        <v>20000</v>
      </c>
    </row>
    <row r="64" spans="3:37" ht="15.6" x14ac:dyDescent="0.3">
      <c r="M64" s="114">
        <v>45017</v>
      </c>
      <c r="N64" s="114">
        <v>45047</v>
      </c>
      <c r="O64" s="114">
        <v>45078</v>
      </c>
      <c r="P64" s="114">
        <v>45108</v>
      </c>
      <c r="Q64" s="114">
        <v>45139</v>
      </c>
      <c r="R64" s="114">
        <v>45170</v>
      </c>
      <c r="S64" s="114">
        <v>45200</v>
      </c>
      <c r="T64" s="114">
        <v>45231</v>
      </c>
      <c r="U64" s="114">
        <v>45261</v>
      </c>
      <c r="AH64" s="200">
        <v>800001</v>
      </c>
      <c r="AI64" s="200">
        <v>1200000</v>
      </c>
      <c r="AJ64" s="201" t="s">
        <v>1126</v>
      </c>
      <c r="AK64" s="200">
        <v>40000</v>
      </c>
    </row>
    <row r="65" spans="1:37" ht="15.6" x14ac:dyDescent="0.3">
      <c r="C65">
        <v>67927</v>
      </c>
      <c r="D65">
        <f>C65*0.1</f>
        <v>6792.7000000000007</v>
      </c>
      <c r="E65">
        <f>C65+D65</f>
        <v>74719.7</v>
      </c>
      <c r="M65">
        <v>162634</v>
      </c>
      <c r="N65">
        <v>162634</v>
      </c>
      <c r="O65">
        <v>162546</v>
      </c>
      <c r="P65">
        <v>162634</v>
      </c>
      <c r="Q65">
        <v>162635</v>
      </c>
      <c r="R65">
        <v>162511</v>
      </c>
      <c r="S65">
        <v>162545</v>
      </c>
      <c r="T65">
        <v>162590</v>
      </c>
      <c r="U65">
        <v>210000</v>
      </c>
      <c r="V65" s="148"/>
      <c r="Y65">
        <v>186850</v>
      </c>
      <c r="AH65" s="200">
        <v>1200001</v>
      </c>
      <c r="AI65" s="200">
        <v>1600000</v>
      </c>
      <c r="AJ65" s="201" t="s">
        <v>1127</v>
      </c>
      <c r="AK65" s="200">
        <v>60000</v>
      </c>
    </row>
    <row r="66" spans="1:37" ht="15.6" x14ac:dyDescent="0.3">
      <c r="A66">
        <v>2241601</v>
      </c>
      <c r="C66">
        <f>C65*0.5</f>
        <v>33963.5</v>
      </c>
      <c r="E66">
        <f>E65*0.5</f>
        <v>37359.85</v>
      </c>
      <c r="F66" t="s">
        <v>107</v>
      </c>
      <c r="G66">
        <v>74720</v>
      </c>
      <c r="I66">
        <v>-8966</v>
      </c>
      <c r="J66">
        <f>-8966+1250</f>
        <v>-7716</v>
      </c>
      <c r="M66">
        <v>669</v>
      </c>
      <c r="N66">
        <v>669</v>
      </c>
      <c r="O66">
        <v>669</v>
      </c>
      <c r="P66">
        <v>669</v>
      </c>
      <c r="Q66">
        <v>669</v>
      </c>
      <c r="R66">
        <v>669</v>
      </c>
      <c r="S66">
        <v>669</v>
      </c>
      <c r="T66">
        <v>669</v>
      </c>
      <c r="U66">
        <v>669</v>
      </c>
      <c r="Y66">
        <v>37500</v>
      </c>
      <c r="AH66" s="200">
        <v>1600001</v>
      </c>
      <c r="AI66" s="200">
        <v>2000000</v>
      </c>
      <c r="AJ66" s="201" t="s">
        <v>1128</v>
      </c>
      <c r="AK66" s="200">
        <v>80000</v>
      </c>
    </row>
    <row r="67" spans="1:37" ht="15.6" x14ac:dyDescent="0.3">
      <c r="A67">
        <f>A66/12</f>
        <v>186800.08333333334</v>
      </c>
      <c r="B67">
        <f>SUM(B68:B69)</f>
        <v>150467</v>
      </c>
      <c r="F67" t="s">
        <v>381</v>
      </c>
      <c r="G67">
        <v>1400</v>
      </c>
      <c r="I67">
        <v>-19427</v>
      </c>
      <c r="K67">
        <v>36109</v>
      </c>
      <c r="M67">
        <v>20152</v>
      </c>
      <c r="N67">
        <v>20152</v>
      </c>
      <c r="O67">
        <v>20152</v>
      </c>
      <c r="P67">
        <v>20152</v>
      </c>
      <c r="Q67">
        <v>20152</v>
      </c>
      <c r="R67">
        <v>20152</v>
      </c>
      <c r="S67">
        <v>20152</v>
      </c>
      <c r="T67">
        <v>20152</v>
      </c>
      <c r="U67">
        <v>20152</v>
      </c>
      <c r="Y67" s="109">
        <f>SUM(Y65:Y66)</f>
        <v>224350</v>
      </c>
      <c r="AH67" s="200">
        <v>2000001</v>
      </c>
      <c r="AI67" s="200">
        <v>2400000</v>
      </c>
      <c r="AJ67" s="201" t="s">
        <v>1129</v>
      </c>
      <c r="AK67" s="200">
        <v>100000</v>
      </c>
    </row>
    <row r="68" spans="1:37" ht="15.6" x14ac:dyDescent="0.3">
      <c r="B68">
        <v>16000</v>
      </c>
      <c r="F68" t="s">
        <v>382</v>
      </c>
      <c r="G68">
        <v>200</v>
      </c>
      <c r="I68">
        <v>-200</v>
      </c>
      <c r="K68">
        <v>12500</v>
      </c>
      <c r="M68">
        <v>2200</v>
      </c>
      <c r="N68">
        <v>2200</v>
      </c>
      <c r="O68">
        <v>2200</v>
      </c>
      <c r="P68">
        <v>2200</v>
      </c>
      <c r="Q68">
        <v>2200</v>
      </c>
      <c r="R68">
        <v>2200</v>
      </c>
      <c r="S68">
        <v>2200</v>
      </c>
      <c r="T68">
        <v>2200</v>
      </c>
      <c r="U68">
        <v>2200</v>
      </c>
      <c r="Y68">
        <v>-40000</v>
      </c>
      <c r="AH68" s="200">
        <v>2400001</v>
      </c>
      <c r="AI68" s="200">
        <v>3205460</v>
      </c>
      <c r="AJ68" s="201" t="s">
        <v>1143</v>
      </c>
      <c r="AK68" s="200">
        <v>241638</v>
      </c>
    </row>
    <row r="69" spans="1:37" x14ac:dyDescent="0.3">
      <c r="B69" s="51">
        <v>134467</v>
      </c>
      <c r="C69">
        <f>SUM(B69,B74)</f>
        <v>136667</v>
      </c>
      <c r="F69" t="s">
        <v>289</v>
      </c>
      <c r="G69">
        <v>37000</v>
      </c>
      <c r="I69">
        <v>-21285</v>
      </c>
      <c r="M69" s="76">
        <f t="shared" ref="M69:U69" si="4">SUM(M65:M68)</f>
        <v>185655</v>
      </c>
      <c r="N69" s="76">
        <f t="shared" si="4"/>
        <v>185655</v>
      </c>
      <c r="O69" s="76">
        <f t="shared" si="4"/>
        <v>185567</v>
      </c>
      <c r="P69" s="76">
        <f t="shared" si="4"/>
        <v>185655</v>
      </c>
      <c r="Q69" s="76">
        <f t="shared" si="4"/>
        <v>185656</v>
      </c>
      <c r="R69" s="76">
        <f t="shared" si="4"/>
        <v>185532</v>
      </c>
      <c r="S69" s="76">
        <f t="shared" si="4"/>
        <v>185566</v>
      </c>
      <c r="T69" s="76">
        <f t="shared" si="4"/>
        <v>185611</v>
      </c>
      <c r="U69" s="76">
        <f t="shared" si="4"/>
        <v>233021</v>
      </c>
      <c r="V69">
        <v>166000</v>
      </c>
      <c r="Y69" s="109">
        <f>SUM(Y67:Y68)</f>
        <v>184350</v>
      </c>
    </row>
    <row r="70" spans="1:37" x14ac:dyDescent="0.3">
      <c r="A70" t="s">
        <v>113</v>
      </c>
      <c r="B70">
        <v>8966</v>
      </c>
      <c r="G70">
        <v>56720</v>
      </c>
      <c r="Y70">
        <v>-9729</v>
      </c>
    </row>
    <row r="71" spans="1:37" x14ac:dyDescent="0.3">
      <c r="A71" t="s">
        <v>418</v>
      </c>
      <c r="B71">
        <v>7716</v>
      </c>
      <c r="D71">
        <v>12560</v>
      </c>
      <c r="G71">
        <f>SUM(G66:G70)</f>
        <v>170040</v>
      </c>
      <c r="I71">
        <v>134467</v>
      </c>
      <c r="J71">
        <f>G71-I71</f>
        <v>35573</v>
      </c>
      <c r="M71" s="1">
        <v>45383</v>
      </c>
      <c r="N71" s="1">
        <v>45413</v>
      </c>
      <c r="O71" s="1">
        <v>45444</v>
      </c>
      <c r="P71" s="1">
        <v>45474</v>
      </c>
      <c r="Q71" s="1">
        <v>45505</v>
      </c>
      <c r="R71" s="1">
        <v>45536</v>
      </c>
      <c r="S71" s="1">
        <v>45566</v>
      </c>
      <c r="T71" s="1">
        <v>45597</v>
      </c>
      <c r="U71" s="1">
        <v>45627</v>
      </c>
      <c r="V71" s="1">
        <v>45658</v>
      </c>
      <c r="W71" s="1">
        <v>45689</v>
      </c>
      <c r="X71" s="1">
        <v>45717</v>
      </c>
      <c r="Y71">
        <v>-2619</v>
      </c>
    </row>
    <row r="72" spans="1:37" x14ac:dyDescent="0.3">
      <c r="A72" t="s">
        <v>265</v>
      </c>
      <c r="B72">
        <v>4110</v>
      </c>
      <c r="D72">
        <v>-8966</v>
      </c>
      <c r="F72" t="s">
        <v>109</v>
      </c>
      <c r="G72">
        <v>2200</v>
      </c>
      <c r="I72">
        <v>8966</v>
      </c>
      <c r="J72">
        <v>-1250</v>
      </c>
      <c r="K72">
        <f>SUM(I72:J72)</f>
        <v>7716</v>
      </c>
      <c r="M72">
        <v>174470</v>
      </c>
      <c r="Y72">
        <v>-200</v>
      </c>
    </row>
    <row r="73" spans="1:37" x14ac:dyDescent="0.3">
      <c r="A73" t="s">
        <v>22</v>
      </c>
      <c r="B73">
        <v>3594</v>
      </c>
      <c r="D73">
        <f>SUM(D71:D72)</f>
        <v>3594</v>
      </c>
      <c r="F73" t="s">
        <v>110</v>
      </c>
      <c r="G73">
        <v>2000</v>
      </c>
      <c r="H73">
        <f>G73*0.7</f>
        <v>1400</v>
      </c>
      <c r="I73">
        <v>4110</v>
      </c>
      <c r="K73">
        <f>SUM(I74,K72)</f>
        <v>155259</v>
      </c>
      <c r="M73">
        <v>22080</v>
      </c>
      <c r="Y73" s="109">
        <f>SUM(Y69:Y72)</f>
        <v>171802</v>
      </c>
    </row>
    <row r="74" spans="1:37" x14ac:dyDescent="0.3">
      <c r="A74" t="s">
        <v>109</v>
      </c>
      <c r="B74" s="51">
        <v>2200</v>
      </c>
      <c r="F74" t="s">
        <v>414</v>
      </c>
      <c r="G74">
        <v>12560</v>
      </c>
      <c r="I74">
        <f>SUM(I71:I73)</f>
        <v>147543</v>
      </c>
      <c r="M74">
        <v>2200</v>
      </c>
    </row>
    <row r="75" spans="1:37" x14ac:dyDescent="0.3">
      <c r="A75" t="s">
        <v>110</v>
      </c>
      <c r="B75" s="51">
        <v>1400</v>
      </c>
      <c r="G75">
        <f>SUM(G71:G74)</f>
        <v>186800</v>
      </c>
      <c r="I75">
        <v>16682</v>
      </c>
      <c r="J75">
        <v>12</v>
      </c>
      <c r="K75">
        <f>I75*J75</f>
        <v>200184</v>
      </c>
    </row>
    <row r="76" spans="1:37" x14ac:dyDescent="0.3">
      <c r="A76" t="s">
        <v>419</v>
      </c>
      <c r="B76">
        <v>1250</v>
      </c>
      <c r="C76" t="s">
        <v>242</v>
      </c>
      <c r="D76">
        <v>5250313</v>
      </c>
      <c r="Y76">
        <v>3222324</v>
      </c>
    </row>
    <row r="77" spans="1:37" x14ac:dyDescent="0.3">
      <c r="B77">
        <f>SUM(B69:B76)</f>
        <v>163703</v>
      </c>
      <c r="C77" t="s">
        <v>42</v>
      </c>
      <c r="D77">
        <v>788258</v>
      </c>
      <c r="F77">
        <v>713279</v>
      </c>
      <c r="I77">
        <v>4110</v>
      </c>
      <c r="K77">
        <f>I77*J75</f>
        <v>49320</v>
      </c>
      <c r="Y77" s="4">
        <f>Y76/12</f>
        <v>268527</v>
      </c>
      <c r="AC77">
        <v>2916130</v>
      </c>
    </row>
    <row r="78" spans="1:37" x14ac:dyDescent="0.3">
      <c r="A78" t="s">
        <v>420</v>
      </c>
      <c r="B78">
        <v>22497</v>
      </c>
      <c r="C78" t="s">
        <v>402</v>
      </c>
      <c r="D78">
        <v>666880</v>
      </c>
      <c r="F78">
        <v>74979</v>
      </c>
      <c r="N78">
        <f>N79*0.4</f>
        <v>972853.20000000007</v>
      </c>
      <c r="O78">
        <f>N78/12</f>
        <v>81071.100000000006</v>
      </c>
      <c r="S78">
        <v>396000</v>
      </c>
      <c r="T78">
        <f>S78/12</f>
        <v>33000</v>
      </c>
      <c r="X78" s="135" t="s">
        <v>107</v>
      </c>
      <c r="Y78" s="51">
        <f>0.4*Y77</f>
        <v>107410.8</v>
      </c>
      <c r="Z78">
        <v>107411</v>
      </c>
      <c r="AC78">
        <f>AC77/12</f>
        <v>243010.83333333334</v>
      </c>
    </row>
    <row r="79" spans="1:37" x14ac:dyDescent="0.3">
      <c r="A79" t="s">
        <v>420</v>
      </c>
      <c r="B79">
        <v>600</v>
      </c>
      <c r="C79" t="s">
        <v>344</v>
      </c>
      <c r="D79">
        <v>50000</v>
      </c>
      <c r="F79">
        <f>SUM(F77:F78)</f>
        <v>788258</v>
      </c>
      <c r="M79" t="s">
        <v>453</v>
      </c>
      <c r="N79" s="4">
        <v>2432133</v>
      </c>
      <c r="O79" t="s">
        <v>454</v>
      </c>
      <c r="P79">
        <f>N79/12</f>
        <v>202677.75</v>
      </c>
      <c r="S79">
        <v>2400</v>
      </c>
      <c r="X79" s="134" t="s">
        <v>22</v>
      </c>
      <c r="Y79">
        <f>0.0481*Y78</f>
        <v>5166.4594799999995</v>
      </c>
    </row>
    <row r="80" spans="1:37" x14ac:dyDescent="0.3">
      <c r="B80">
        <f>SUM(B77:B79)</f>
        <v>186800</v>
      </c>
      <c r="C80" t="s">
        <v>403</v>
      </c>
      <c r="D80">
        <v>200000</v>
      </c>
      <c r="Q80" t="s">
        <v>267</v>
      </c>
      <c r="S80">
        <v>16800</v>
      </c>
      <c r="X80" s="134" t="s">
        <v>6</v>
      </c>
      <c r="Y80">
        <f>0.12*Y78</f>
        <v>12889.296</v>
      </c>
    </row>
    <row r="81" spans="1:28" x14ac:dyDescent="0.3">
      <c r="C81" t="s">
        <v>404</v>
      </c>
      <c r="D81">
        <v>384000</v>
      </c>
      <c r="H81">
        <v>140000</v>
      </c>
      <c r="M81" t="s">
        <v>107</v>
      </c>
      <c r="N81" s="3">
        <v>972855</v>
      </c>
      <c r="P81">
        <f>N81/12</f>
        <v>81071.25</v>
      </c>
      <c r="Q81">
        <v>46794</v>
      </c>
      <c r="S81">
        <v>26400</v>
      </c>
      <c r="X81" s="135" t="s">
        <v>289</v>
      </c>
      <c r="Y81" s="51">
        <f>0.5*Y78</f>
        <v>53705.4</v>
      </c>
      <c r="Z81">
        <v>53705</v>
      </c>
    </row>
    <row r="82" spans="1:28" x14ac:dyDescent="0.3">
      <c r="A82">
        <v>163703</v>
      </c>
      <c r="C82" t="s">
        <v>405</v>
      </c>
      <c r="D82">
        <v>1650000</v>
      </c>
      <c r="H82">
        <v>9729</v>
      </c>
      <c r="M82" t="s">
        <v>446</v>
      </c>
      <c r="N82" s="3">
        <f>SUM(S78:S83)</f>
        <v>1295736</v>
      </c>
      <c r="P82">
        <f>N82/12</f>
        <v>107978</v>
      </c>
      <c r="S82">
        <v>24000</v>
      </c>
      <c r="U82" t="s">
        <v>289</v>
      </c>
      <c r="W82" t="s">
        <v>481</v>
      </c>
      <c r="X82" s="134" t="s">
        <v>477</v>
      </c>
      <c r="Y82" s="51">
        <v>200</v>
      </c>
      <c r="Z82">
        <v>200</v>
      </c>
    </row>
    <row r="83" spans="1:28" x14ac:dyDescent="0.3">
      <c r="A83">
        <v>15775</v>
      </c>
      <c r="C83" t="s">
        <v>408</v>
      </c>
      <c r="D83">
        <v>696000</v>
      </c>
      <c r="H83">
        <v>2983</v>
      </c>
      <c r="M83" t="s">
        <v>290</v>
      </c>
      <c r="N83" s="3">
        <f>13629*12</f>
        <v>163548</v>
      </c>
      <c r="O83">
        <f>N83/12</f>
        <v>13629</v>
      </c>
      <c r="P83">
        <v>3900</v>
      </c>
      <c r="S83">
        <v>830136</v>
      </c>
      <c r="U83" t="s">
        <v>477</v>
      </c>
      <c r="W83" t="s">
        <v>482</v>
      </c>
      <c r="X83" s="135" t="s">
        <v>108</v>
      </c>
      <c r="Y83" s="51">
        <v>3000</v>
      </c>
      <c r="Z83">
        <v>3500</v>
      </c>
    </row>
    <row r="84" spans="1:28" x14ac:dyDescent="0.3">
      <c r="A84">
        <f>SUM(A82:A83)</f>
        <v>179478</v>
      </c>
      <c r="C84" t="s">
        <v>406</v>
      </c>
      <c r="D84">
        <v>715556</v>
      </c>
      <c r="H84">
        <v>9729</v>
      </c>
      <c r="P84">
        <v>9729</v>
      </c>
      <c r="U84" t="s">
        <v>478</v>
      </c>
      <c r="W84" t="s">
        <v>482</v>
      </c>
      <c r="X84" s="135" t="s">
        <v>485</v>
      </c>
      <c r="Y84" s="51">
        <v>5000</v>
      </c>
      <c r="Z84">
        <v>5000</v>
      </c>
    </row>
    <row r="85" spans="1:28" x14ac:dyDescent="0.3">
      <c r="C85" t="s">
        <v>407</v>
      </c>
      <c r="D85">
        <v>150000</v>
      </c>
      <c r="H85">
        <v>-1250</v>
      </c>
      <c r="U85" t="s">
        <v>479</v>
      </c>
      <c r="W85" t="s">
        <v>483</v>
      </c>
      <c r="X85" s="135" t="s">
        <v>110</v>
      </c>
      <c r="Y85" s="51">
        <v>4167</v>
      </c>
      <c r="Z85">
        <v>4167</v>
      </c>
    </row>
    <row r="86" spans="1:28" x14ac:dyDescent="0.3">
      <c r="C86" s="24" t="s">
        <v>27</v>
      </c>
      <c r="D86" s="24">
        <v>1121465</v>
      </c>
      <c r="H86">
        <v>2200</v>
      </c>
      <c r="U86" t="s">
        <v>291</v>
      </c>
      <c r="W86" t="s">
        <v>481</v>
      </c>
      <c r="X86" s="135" t="s">
        <v>529</v>
      </c>
      <c r="Y86" s="51">
        <v>4000</v>
      </c>
      <c r="Z86">
        <v>4000</v>
      </c>
    </row>
    <row r="87" spans="1:28" x14ac:dyDescent="0.3">
      <c r="C87" t="s">
        <v>22</v>
      </c>
      <c r="D87" s="83">
        <v>474178</v>
      </c>
      <c r="H87">
        <v>3900</v>
      </c>
      <c r="M87" t="s">
        <v>292</v>
      </c>
      <c r="N87" s="79">
        <v>137333</v>
      </c>
      <c r="P87">
        <v>137333</v>
      </c>
      <c r="U87" t="s">
        <v>484</v>
      </c>
      <c r="W87">
        <v>4000</v>
      </c>
      <c r="X87" s="134" t="s">
        <v>815</v>
      </c>
      <c r="Y87" s="51">
        <v>70788</v>
      </c>
      <c r="Z87">
        <v>70288</v>
      </c>
    </row>
    <row r="88" spans="1:28" x14ac:dyDescent="0.3">
      <c r="C88" s="24" t="s">
        <v>6</v>
      </c>
      <c r="D88" s="84">
        <v>2054513</v>
      </c>
      <c r="H88">
        <f>SUM(H81:H87)</f>
        <v>167291</v>
      </c>
      <c r="I88">
        <v>12</v>
      </c>
      <c r="J88">
        <f>H88*I88</f>
        <v>2007492</v>
      </c>
      <c r="M88" t="s">
        <v>113</v>
      </c>
      <c r="N88" s="79">
        <v>9729</v>
      </c>
      <c r="P88">
        <v>2200</v>
      </c>
      <c r="U88" t="s">
        <v>485</v>
      </c>
      <c r="W88">
        <v>5000</v>
      </c>
      <c r="X88" s="134" t="s">
        <v>109</v>
      </c>
      <c r="Y88" s="51">
        <v>2200</v>
      </c>
    </row>
    <row r="89" spans="1:28" x14ac:dyDescent="0.3">
      <c r="C89" s="24" t="s">
        <v>247</v>
      </c>
      <c r="D89" s="84">
        <v>378600</v>
      </c>
      <c r="M89" t="s">
        <v>265</v>
      </c>
      <c r="N89" s="79">
        <v>2983</v>
      </c>
      <c r="O89">
        <f>SUM(N87:N91,N93,N94)</f>
        <v>165873.5</v>
      </c>
      <c r="P89">
        <f>SUM(P87:P88)</f>
        <v>139533</v>
      </c>
      <c r="U89" t="s">
        <v>480</v>
      </c>
      <c r="W89" t="s">
        <v>482</v>
      </c>
      <c r="Y89">
        <f>SUM(Y78:Y88)</f>
        <v>268526.95548</v>
      </c>
      <c r="Z89">
        <f>SUM(Z78:Z88)</f>
        <v>248271</v>
      </c>
      <c r="AA89">
        <v>-39311</v>
      </c>
      <c r="AB89">
        <f>SUM(Z89:AA89)</f>
        <v>208960</v>
      </c>
    </row>
    <row r="90" spans="1:28" x14ac:dyDescent="0.3">
      <c r="H90" t="s">
        <v>835</v>
      </c>
      <c r="I90" t="s">
        <v>836</v>
      </c>
      <c r="M90" t="s">
        <v>455</v>
      </c>
      <c r="N90" s="79">
        <v>8479</v>
      </c>
      <c r="P90">
        <v>15000</v>
      </c>
      <c r="Z90">
        <v>-46051</v>
      </c>
      <c r="AB90">
        <v>12889</v>
      </c>
    </row>
    <row r="91" spans="1:28" x14ac:dyDescent="0.3">
      <c r="D91">
        <f>SUM(D76:D89)</f>
        <v>14579763</v>
      </c>
      <c r="H91" t="s">
        <v>322</v>
      </c>
      <c r="I91" t="s">
        <v>27</v>
      </c>
      <c r="J91" t="s">
        <v>837</v>
      </c>
      <c r="K91" t="s">
        <v>838</v>
      </c>
      <c r="M91" t="s">
        <v>109</v>
      </c>
      <c r="N91" s="79">
        <v>2200</v>
      </c>
      <c r="V91">
        <v>2979253</v>
      </c>
      <c r="W91">
        <f>Y76-V91</f>
        <v>243071</v>
      </c>
      <c r="X91">
        <f>W91/12</f>
        <v>20255.916666666668</v>
      </c>
      <c r="Y91">
        <f>SUM(Y78,Y81,Y82,Y83,Y84,Y85,Y86,Y87,Y88)</f>
        <v>250471.2</v>
      </c>
      <c r="Z91">
        <f>SUM(Z89:Z90)</f>
        <v>202220</v>
      </c>
      <c r="AB91">
        <v>-1250</v>
      </c>
    </row>
    <row r="92" spans="1:28" x14ac:dyDescent="0.3">
      <c r="H92" t="s">
        <v>323</v>
      </c>
      <c r="M92" t="s">
        <v>456</v>
      </c>
      <c r="N92">
        <v>2000</v>
      </c>
      <c r="Y92">
        <f>Y91*12</f>
        <v>3005654.4000000004</v>
      </c>
      <c r="Z92">
        <v>-12889</v>
      </c>
      <c r="AB92">
        <f>SUM(AB89:AB91)</f>
        <v>220599</v>
      </c>
    </row>
    <row r="93" spans="1:28" x14ac:dyDescent="0.3">
      <c r="M93" t="s">
        <v>22</v>
      </c>
      <c r="N93" s="79">
        <v>3899.5</v>
      </c>
      <c r="P93">
        <f>SUM(P90,N87)</f>
        <v>152333</v>
      </c>
      <c r="V93">
        <f>SUM(Y79:Y80)</f>
        <v>18055.75548</v>
      </c>
      <c r="W93">
        <f>V93*12</f>
        <v>216669.06576</v>
      </c>
      <c r="X93">
        <f>W91-W93</f>
        <v>26401.934240000002</v>
      </c>
      <c r="Y93">
        <f>X93/12</f>
        <v>2200.1611866666667</v>
      </c>
      <c r="Z93">
        <f>SUM(Z91:Z92)</f>
        <v>189331</v>
      </c>
    </row>
    <row r="94" spans="1:28" x14ac:dyDescent="0.3">
      <c r="N94" s="79">
        <v>1250</v>
      </c>
      <c r="P94">
        <v>-30000</v>
      </c>
      <c r="Y94">
        <v>-75000</v>
      </c>
      <c r="Z94">
        <v>12889</v>
      </c>
    </row>
    <row r="95" spans="1:28" x14ac:dyDescent="0.3">
      <c r="N95">
        <f>SUM(N87:N94)</f>
        <v>167873.5</v>
      </c>
      <c r="P95">
        <f>SUM(P93:P94)</f>
        <v>122333</v>
      </c>
      <c r="Y95">
        <f>SUM(Y92,Y94)</f>
        <v>2930654.4000000004</v>
      </c>
      <c r="Z95">
        <v>12889</v>
      </c>
    </row>
    <row r="96" spans="1:28" x14ac:dyDescent="0.3">
      <c r="N96">
        <v>200</v>
      </c>
      <c r="Z96">
        <v>-1250</v>
      </c>
    </row>
    <row r="97" spans="2:26" x14ac:dyDescent="0.3">
      <c r="B97">
        <v>2037820</v>
      </c>
      <c r="N97">
        <v>34604</v>
      </c>
      <c r="Z97">
        <v>2200</v>
      </c>
    </row>
    <row r="98" spans="2:26" x14ac:dyDescent="0.3">
      <c r="B98">
        <v>3.32</v>
      </c>
      <c r="C98">
        <v>62707</v>
      </c>
      <c r="E98">
        <v>30000</v>
      </c>
      <c r="F98">
        <v>30000</v>
      </c>
      <c r="G98">
        <v>0.1</v>
      </c>
      <c r="H98">
        <f>F98*G98</f>
        <v>3000</v>
      </c>
      <c r="I98">
        <f>H98/12</f>
        <v>250</v>
      </c>
      <c r="N98">
        <f>SUM(N95:N97)</f>
        <v>202677.5</v>
      </c>
    </row>
    <row r="99" spans="2:26" x14ac:dyDescent="0.3">
      <c r="B99">
        <f>B97*0.0332</f>
        <v>67655.623999999996</v>
      </c>
      <c r="E99">
        <v>30000</v>
      </c>
      <c r="F99">
        <v>30000</v>
      </c>
    </row>
    <row r="100" spans="2:26" x14ac:dyDescent="0.3">
      <c r="E100">
        <v>30000</v>
      </c>
      <c r="F100">
        <v>30000</v>
      </c>
    </row>
    <row r="103" spans="2:26" x14ac:dyDescent="0.3">
      <c r="H103" s="114">
        <v>44287</v>
      </c>
      <c r="I103">
        <v>16000</v>
      </c>
      <c r="M103" s="1">
        <v>44927</v>
      </c>
      <c r="N103" s="1">
        <v>44958</v>
      </c>
      <c r="O103" s="1">
        <v>44986</v>
      </c>
      <c r="P103" s="1">
        <v>45017</v>
      </c>
      <c r="Q103" s="1">
        <v>45047</v>
      </c>
      <c r="R103" s="1">
        <v>45078</v>
      </c>
      <c r="S103" s="1">
        <v>45108</v>
      </c>
      <c r="T103" s="1">
        <v>45139</v>
      </c>
      <c r="U103" s="1">
        <v>45170</v>
      </c>
      <c r="V103" s="1">
        <v>45200</v>
      </c>
      <c r="W103" s="1">
        <v>45231</v>
      </c>
      <c r="X103" s="1">
        <v>45261</v>
      </c>
    </row>
    <row r="104" spans="2:26" x14ac:dyDescent="0.3">
      <c r="C104">
        <v>250000</v>
      </c>
      <c r="H104" s="114">
        <v>44317</v>
      </c>
      <c r="I104">
        <v>15900</v>
      </c>
      <c r="M104">
        <v>157043</v>
      </c>
      <c r="N104">
        <v>155233</v>
      </c>
      <c r="O104">
        <v>155303</v>
      </c>
      <c r="P104">
        <v>162634</v>
      </c>
      <c r="Q104">
        <v>162634</v>
      </c>
      <c r="R104">
        <v>162546</v>
      </c>
      <c r="S104">
        <v>162634</v>
      </c>
      <c r="T104">
        <v>162635</v>
      </c>
      <c r="U104">
        <v>162511</v>
      </c>
      <c r="V104">
        <v>162545</v>
      </c>
      <c r="W104">
        <v>162590</v>
      </c>
      <c r="X104">
        <v>162635</v>
      </c>
    </row>
    <row r="105" spans="2:26" x14ac:dyDescent="0.3">
      <c r="C105">
        <f>18208*12</f>
        <v>218496</v>
      </c>
      <c r="H105" s="114">
        <v>44348</v>
      </c>
      <c r="I105">
        <v>15700</v>
      </c>
      <c r="M105">
        <v>10701</v>
      </c>
      <c r="N105">
        <v>10701</v>
      </c>
      <c r="O105">
        <v>10701</v>
      </c>
      <c r="P105">
        <v>10701</v>
      </c>
      <c r="Q105">
        <v>10701</v>
      </c>
      <c r="R105">
        <v>10701</v>
      </c>
      <c r="S105">
        <v>10701</v>
      </c>
      <c r="T105">
        <v>10701</v>
      </c>
      <c r="U105">
        <v>10701</v>
      </c>
      <c r="V105">
        <v>10701</v>
      </c>
      <c r="W105">
        <v>10701</v>
      </c>
      <c r="X105">
        <v>10701</v>
      </c>
    </row>
    <row r="106" spans="2:26" x14ac:dyDescent="0.3">
      <c r="C106">
        <f>C104-C105</f>
        <v>31504</v>
      </c>
      <c r="H106" s="114">
        <v>44378</v>
      </c>
      <c r="I106">
        <v>15800</v>
      </c>
      <c r="M106">
        <v>2880</v>
      </c>
      <c r="N106">
        <v>2880</v>
      </c>
      <c r="O106">
        <v>2880</v>
      </c>
      <c r="P106">
        <v>669</v>
      </c>
      <c r="Q106">
        <v>669</v>
      </c>
      <c r="R106">
        <v>669</v>
      </c>
      <c r="S106">
        <v>669</v>
      </c>
      <c r="T106">
        <v>669</v>
      </c>
      <c r="U106">
        <v>669</v>
      </c>
      <c r="V106">
        <v>669</v>
      </c>
      <c r="W106">
        <v>669</v>
      </c>
      <c r="X106">
        <v>669</v>
      </c>
    </row>
    <row r="107" spans="2:26" x14ac:dyDescent="0.3">
      <c r="C107">
        <f>C106/12</f>
        <v>2625.3333333333335</v>
      </c>
      <c r="H107" s="114">
        <v>44409</v>
      </c>
      <c r="I107">
        <v>15800</v>
      </c>
      <c r="M107">
        <v>10701</v>
      </c>
      <c r="N107">
        <v>10701</v>
      </c>
      <c r="O107">
        <v>10701</v>
      </c>
      <c r="P107">
        <v>10701</v>
      </c>
      <c r="Q107">
        <v>10701</v>
      </c>
      <c r="R107">
        <v>10701</v>
      </c>
      <c r="S107">
        <v>10701</v>
      </c>
      <c r="T107">
        <v>10701</v>
      </c>
      <c r="U107">
        <v>10701</v>
      </c>
      <c r="V107">
        <v>10701</v>
      </c>
      <c r="W107">
        <v>10701</v>
      </c>
      <c r="X107">
        <v>10701</v>
      </c>
    </row>
    <row r="108" spans="2:26" x14ac:dyDescent="0.3">
      <c r="H108" s="114">
        <v>44440</v>
      </c>
      <c r="I108">
        <v>15500</v>
      </c>
      <c r="M108">
        <v>-1250</v>
      </c>
      <c r="N108">
        <v>-1250</v>
      </c>
      <c r="O108">
        <v>-1250</v>
      </c>
      <c r="P108">
        <v>-1250</v>
      </c>
      <c r="Q108">
        <v>-1250</v>
      </c>
      <c r="R108">
        <v>-1250</v>
      </c>
      <c r="S108">
        <v>-1250</v>
      </c>
      <c r="T108">
        <v>-1250</v>
      </c>
      <c r="U108">
        <v>-1250</v>
      </c>
      <c r="V108">
        <v>-1250</v>
      </c>
      <c r="W108">
        <v>-1250</v>
      </c>
      <c r="X108">
        <v>-1250</v>
      </c>
    </row>
    <row r="109" spans="2:26" x14ac:dyDescent="0.3">
      <c r="C109">
        <v>177937</v>
      </c>
      <c r="H109" s="114">
        <v>44470</v>
      </c>
      <c r="I109">
        <v>16000</v>
      </c>
      <c r="M109">
        <v>2200</v>
      </c>
      <c r="N109">
        <v>2200</v>
      </c>
      <c r="O109">
        <v>2200</v>
      </c>
      <c r="P109">
        <v>2200</v>
      </c>
      <c r="Q109">
        <v>2200</v>
      </c>
      <c r="R109">
        <v>2200</v>
      </c>
      <c r="S109">
        <v>2200</v>
      </c>
      <c r="T109">
        <v>2200</v>
      </c>
      <c r="U109">
        <v>2200</v>
      </c>
      <c r="V109">
        <v>2200</v>
      </c>
      <c r="W109">
        <v>2200</v>
      </c>
      <c r="X109">
        <v>2200</v>
      </c>
    </row>
    <row r="110" spans="2:26" x14ac:dyDescent="0.3">
      <c r="C110">
        <v>15000</v>
      </c>
      <c r="H110" s="114">
        <v>44501</v>
      </c>
      <c r="I110">
        <v>18000</v>
      </c>
      <c r="M110">
        <f>SUM(M104:M109)</f>
        <v>182275</v>
      </c>
      <c r="N110">
        <f>SUM(N104:N109)</f>
        <v>180465</v>
      </c>
      <c r="O110">
        <f t="shared" ref="O110:X110" si="5">SUM(O104:O109)</f>
        <v>180535</v>
      </c>
      <c r="P110">
        <f t="shared" si="5"/>
        <v>185655</v>
      </c>
      <c r="Q110">
        <f t="shared" si="5"/>
        <v>185655</v>
      </c>
      <c r="R110">
        <f t="shared" si="5"/>
        <v>185567</v>
      </c>
      <c r="S110">
        <f t="shared" si="5"/>
        <v>185655</v>
      </c>
      <c r="T110">
        <f t="shared" si="5"/>
        <v>185656</v>
      </c>
      <c r="U110">
        <f t="shared" si="5"/>
        <v>185532</v>
      </c>
      <c r="V110">
        <f t="shared" si="5"/>
        <v>185566</v>
      </c>
      <c r="W110">
        <f t="shared" si="5"/>
        <v>185611</v>
      </c>
      <c r="X110">
        <f t="shared" si="5"/>
        <v>185656</v>
      </c>
    </row>
    <row r="111" spans="2:26" x14ac:dyDescent="0.3">
      <c r="C111">
        <v>6000</v>
      </c>
      <c r="H111" s="114">
        <v>44531</v>
      </c>
      <c r="I111">
        <v>13000</v>
      </c>
    </row>
    <row r="112" spans="2:26" x14ac:dyDescent="0.3">
      <c r="C112">
        <f>SUM(C109:C111)</f>
        <v>198937</v>
      </c>
      <c r="H112" s="114">
        <v>44562</v>
      </c>
      <c r="I112">
        <v>15300</v>
      </c>
    </row>
    <row r="113" spans="8:18" x14ac:dyDescent="0.3">
      <c r="H113" s="114">
        <v>44593</v>
      </c>
      <c r="I113">
        <v>15200</v>
      </c>
      <c r="R113">
        <f>SUM(M110:X110)</f>
        <v>2213828</v>
      </c>
    </row>
    <row r="114" spans="8:18" x14ac:dyDescent="0.3">
      <c r="H114" s="114">
        <v>44621</v>
      </c>
      <c r="I114">
        <v>15000</v>
      </c>
      <c r="R114">
        <f>16300*12</f>
        <v>195600</v>
      </c>
    </row>
    <row r="115" spans="8:18" x14ac:dyDescent="0.3">
      <c r="H115" s="114">
        <v>44652</v>
      </c>
      <c r="I115">
        <v>15200</v>
      </c>
    </row>
    <row r="116" spans="8:18" x14ac:dyDescent="0.3">
      <c r="H116" s="114">
        <v>44682</v>
      </c>
      <c r="I116">
        <v>15000</v>
      </c>
    </row>
    <row r="117" spans="8:18" x14ac:dyDescent="0.3">
      <c r="H117" s="114">
        <v>44713</v>
      </c>
      <c r="I117">
        <v>16500</v>
      </c>
      <c r="M117">
        <v>158194</v>
      </c>
    </row>
    <row r="118" spans="8:18" x14ac:dyDescent="0.3">
      <c r="H118" s="114">
        <v>44743</v>
      </c>
      <c r="I118">
        <v>16400</v>
      </c>
      <c r="M118">
        <v>11665</v>
      </c>
    </row>
    <row r="119" spans="8:18" x14ac:dyDescent="0.3">
      <c r="H119" s="114">
        <v>44774</v>
      </c>
      <c r="I119">
        <v>16400</v>
      </c>
      <c r="M119">
        <v>729</v>
      </c>
    </row>
    <row r="120" spans="8:18" x14ac:dyDescent="0.3">
      <c r="H120" s="114">
        <v>44805</v>
      </c>
      <c r="I120">
        <v>15800</v>
      </c>
      <c r="M120">
        <v>11665</v>
      </c>
    </row>
    <row r="121" spans="8:18" x14ac:dyDescent="0.3">
      <c r="H121" s="114">
        <v>44835</v>
      </c>
      <c r="I121">
        <v>16300</v>
      </c>
      <c r="M121">
        <v>-1250</v>
      </c>
    </row>
    <row r="122" spans="8:18" x14ac:dyDescent="0.3">
      <c r="H122" s="114">
        <v>44866</v>
      </c>
      <c r="I122">
        <v>16000</v>
      </c>
      <c r="M122">
        <f>SUM(M117:M121)</f>
        <v>181003</v>
      </c>
    </row>
    <row r="123" spans="8:18" x14ac:dyDescent="0.3">
      <c r="H123" s="114">
        <v>44896</v>
      </c>
      <c r="I123">
        <v>16400</v>
      </c>
      <c r="M123">
        <v>2200</v>
      </c>
    </row>
    <row r="124" spans="8:18" x14ac:dyDescent="0.3">
      <c r="H124" s="114">
        <v>44927</v>
      </c>
      <c r="I124">
        <v>16300</v>
      </c>
      <c r="M124">
        <f>SUM(M122:M123)</f>
        <v>183203</v>
      </c>
    </row>
    <row r="125" spans="8:18" x14ac:dyDescent="0.3">
      <c r="H125" s="114">
        <v>44958</v>
      </c>
      <c r="I125">
        <v>16300</v>
      </c>
      <c r="M125">
        <v>17000</v>
      </c>
    </row>
    <row r="126" spans="8:18" x14ac:dyDescent="0.3">
      <c r="H126" s="114">
        <v>44986</v>
      </c>
      <c r="I126">
        <v>16300</v>
      </c>
      <c r="M126">
        <f>SUM(M124:M125)</f>
        <v>200203</v>
      </c>
    </row>
    <row r="127" spans="8:18" x14ac:dyDescent="0.3">
      <c r="H127" s="114">
        <v>45017</v>
      </c>
      <c r="I127">
        <v>16300</v>
      </c>
    </row>
    <row r="128" spans="8:18" x14ac:dyDescent="0.3">
      <c r="H128" s="114">
        <v>45047</v>
      </c>
      <c r="I128">
        <v>16300</v>
      </c>
    </row>
    <row r="129" spans="8:9" x14ac:dyDescent="0.3">
      <c r="H129" s="114">
        <v>45078</v>
      </c>
      <c r="I129">
        <v>16300</v>
      </c>
    </row>
    <row r="130" spans="8:9" x14ac:dyDescent="0.3">
      <c r="H130" s="114">
        <v>45108</v>
      </c>
      <c r="I130">
        <v>16300</v>
      </c>
    </row>
    <row r="131" spans="8:9" x14ac:dyDescent="0.3">
      <c r="H131" s="114">
        <v>45139</v>
      </c>
      <c r="I131">
        <v>16300</v>
      </c>
    </row>
    <row r="132" spans="8:9" x14ac:dyDescent="0.3">
      <c r="H132" s="114">
        <v>45170</v>
      </c>
      <c r="I132">
        <v>16300</v>
      </c>
    </row>
    <row r="133" spans="8:9" x14ac:dyDescent="0.3">
      <c r="H133" s="114">
        <v>45200</v>
      </c>
      <c r="I133">
        <v>16300</v>
      </c>
    </row>
    <row r="134" spans="8:9" x14ac:dyDescent="0.3">
      <c r="H134" s="114">
        <v>45231</v>
      </c>
      <c r="I134">
        <v>16300</v>
      </c>
    </row>
    <row r="135" spans="8:9" x14ac:dyDescent="0.3">
      <c r="H135" s="114">
        <v>45261</v>
      </c>
      <c r="I135">
        <v>16300</v>
      </c>
    </row>
    <row r="136" spans="8:9" x14ac:dyDescent="0.3">
      <c r="H136" s="114">
        <v>45292</v>
      </c>
      <c r="I136">
        <v>16300</v>
      </c>
    </row>
    <row r="137" spans="8:9" x14ac:dyDescent="0.3">
      <c r="H137" s="114">
        <v>45323</v>
      </c>
      <c r="I137">
        <v>16300</v>
      </c>
    </row>
    <row r="138" spans="8:9" x14ac:dyDescent="0.3">
      <c r="H138" s="114">
        <v>45352</v>
      </c>
      <c r="I138">
        <v>16300</v>
      </c>
    </row>
    <row r="139" spans="8:9" x14ac:dyDescent="0.3">
      <c r="H139" s="114">
        <v>45383</v>
      </c>
      <c r="I139">
        <v>16300</v>
      </c>
    </row>
    <row r="140" spans="8:9" x14ac:dyDescent="0.3">
      <c r="H140" s="114">
        <v>45413</v>
      </c>
      <c r="I140">
        <v>16300</v>
      </c>
    </row>
    <row r="141" spans="8:9" x14ac:dyDescent="0.3">
      <c r="H141" s="114">
        <v>45444</v>
      </c>
      <c r="I141">
        <v>16300</v>
      </c>
    </row>
    <row r="142" spans="8:9" x14ac:dyDescent="0.3">
      <c r="H142" s="114">
        <v>45474</v>
      </c>
      <c r="I142">
        <v>16300</v>
      </c>
    </row>
    <row r="143" spans="8:9" x14ac:dyDescent="0.3">
      <c r="H143" s="114">
        <v>45505</v>
      </c>
      <c r="I143">
        <v>16300</v>
      </c>
    </row>
    <row r="144" spans="8:9" x14ac:dyDescent="0.3">
      <c r="H144" s="114">
        <v>45536</v>
      </c>
      <c r="I144">
        <v>16300</v>
      </c>
    </row>
    <row r="145" spans="8:9" x14ac:dyDescent="0.3">
      <c r="H145" s="114">
        <v>45566</v>
      </c>
      <c r="I145">
        <v>16300</v>
      </c>
    </row>
    <row r="146" spans="8:9" x14ac:dyDescent="0.3">
      <c r="H146" s="114">
        <v>45597</v>
      </c>
      <c r="I146">
        <v>16300</v>
      </c>
    </row>
    <row r="147" spans="8:9" x14ac:dyDescent="0.3">
      <c r="H147" s="114">
        <v>45627</v>
      </c>
      <c r="I147">
        <v>16300</v>
      </c>
    </row>
    <row r="148" spans="8:9" x14ac:dyDescent="0.3">
      <c r="H148" s="114">
        <v>45658</v>
      </c>
      <c r="I148">
        <v>16300</v>
      </c>
    </row>
  </sheetData>
  <mergeCells count="1">
    <mergeCell ref="AH59:AJ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183"/>
  <sheetViews>
    <sheetView topLeftCell="A24" zoomScale="90" zoomScaleNormal="90" workbookViewId="0">
      <selection activeCell="D49" sqref="D49"/>
    </sheetView>
  </sheetViews>
  <sheetFormatPr defaultRowHeight="14.4" x14ac:dyDescent="0.3"/>
  <cols>
    <col min="1" max="1" width="36.44140625" customWidth="1"/>
    <col min="2" max="2" width="11.21875" bestFit="1" customWidth="1"/>
    <col min="3" max="3" width="13.6640625" customWidth="1"/>
    <col min="6" max="6" width="12.109375" bestFit="1" customWidth="1"/>
    <col min="7" max="7" width="12.5546875" customWidth="1"/>
    <col min="9" max="9" width="14" customWidth="1"/>
    <col min="13" max="13" width="9.88671875" bestFit="1" customWidth="1"/>
    <col min="14" max="14" width="13.77734375" bestFit="1" customWidth="1"/>
    <col min="15" max="15" width="15.21875" bestFit="1" customWidth="1"/>
    <col min="16" max="16" width="9.88671875" bestFit="1" customWidth="1"/>
    <col min="17" max="17" width="11.21875" customWidth="1"/>
    <col min="18" max="18" width="9.77734375" bestFit="1" customWidth="1"/>
    <col min="19" max="19" width="24.21875" bestFit="1" customWidth="1"/>
    <col min="22" max="22" width="18.6640625" customWidth="1"/>
    <col min="23" max="23" width="19.33203125" bestFit="1" customWidth="1"/>
    <col min="24" max="24" width="16" customWidth="1"/>
  </cols>
  <sheetData>
    <row r="1" spans="1:24" s="6" customFormat="1" ht="28.8" x14ac:dyDescent="0.3">
      <c r="A1" s="117" t="s">
        <v>520</v>
      </c>
      <c r="M1" s="6" t="s">
        <v>58</v>
      </c>
      <c r="N1" s="31">
        <v>42010</v>
      </c>
      <c r="O1" s="6">
        <v>10</v>
      </c>
      <c r="P1" s="6">
        <v>400</v>
      </c>
      <c r="Q1" s="6">
        <v>4000</v>
      </c>
      <c r="W1" s="130" t="s">
        <v>719</v>
      </c>
    </row>
    <row r="2" spans="1:24" x14ac:dyDescent="0.3">
      <c r="A2" s="3" t="s">
        <v>126</v>
      </c>
      <c r="E2">
        <v>3294</v>
      </c>
      <c r="M2" t="s">
        <v>178</v>
      </c>
      <c r="N2" s="15">
        <v>42074</v>
      </c>
      <c r="O2">
        <v>5</v>
      </c>
      <c r="P2">
        <v>2200</v>
      </c>
      <c r="Q2">
        <f>O2*P2</f>
        <v>11000</v>
      </c>
      <c r="V2" t="s">
        <v>714</v>
      </c>
      <c r="W2" t="s">
        <v>715</v>
      </c>
    </row>
    <row r="3" spans="1:24" x14ac:dyDescent="0.3">
      <c r="A3" t="s">
        <v>97</v>
      </c>
      <c r="E3">
        <v>11230</v>
      </c>
      <c r="M3" t="s">
        <v>179</v>
      </c>
      <c r="N3" s="15">
        <v>42068</v>
      </c>
      <c r="O3">
        <v>5</v>
      </c>
      <c r="P3">
        <v>2000</v>
      </c>
      <c r="Q3">
        <v>10000</v>
      </c>
      <c r="V3" t="s">
        <v>716</v>
      </c>
      <c r="W3" t="s">
        <v>720</v>
      </c>
    </row>
    <row r="4" spans="1:24" x14ac:dyDescent="0.3">
      <c r="A4" t="s">
        <v>98</v>
      </c>
      <c r="E4">
        <v>6000</v>
      </c>
      <c r="G4">
        <f>6*34</f>
        <v>204</v>
      </c>
      <c r="M4" s="28" t="s">
        <v>173</v>
      </c>
      <c r="N4" s="25">
        <v>42766</v>
      </c>
      <c r="O4" s="28">
        <v>10</v>
      </c>
      <c r="P4" s="24">
        <v>500</v>
      </c>
      <c r="Q4" s="29">
        <v>5000</v>
      </c>
      <c r="V4" t="s">
        <v>717</v>
      </c>
      <c r="W4" t="s">
        <v>721</v>
      </c>
      <c r="X4" t="s">
        <v>726</v>
      </c>
    </row>
    <row r="5" spans="1:24" x14ac:dyDescent="0.3">
      <c r="A5" s="5" t="s">
        <v>532</v>
      </c>
      <c r="E5">
        <v>2948</v>
      </c>
      <c r="M5" s="28" t="s">
        <v>173</v>
      </c>
      <c r="N5" s="25">
        <v>42801</v>
      </c>
      <c r="O5" s="28">
        <v>5</v>
      </c>
      <c r="P5" s="24">
        <v>575</v>
      </c>
      <c r="Q5" s="29">
        <v>2875</v>
      </c>
      <c r="V5" t="s">
        <v>718</v>
      </c>
      <c r="W5" s="51" t="s">
        <v>722</v>
      </c>
      <c r="X5" t="s">
        <v>726</v>
      </c>
    </row>
    <row r="6" spans="1:24" x14ac:dyDescent="0.3">
      <c r="M6" s="28" t="s">
        <v>173</v>
      </c>
      <c r="N6" s="25">
        <v>43174</v>
      </c>
      <c r="O6" s="28">
        <v>10</v>
      </c>
      <c r="P6" s="24">
        <v>460</v>
      </c>
      <c r="Q6" s="29">
        <v>4600</v>
      </c>
      <c r="V6" t="s">
        <v>724</v>
      </c>
      <c r="W6" s="51" t="s">
        <v>723</v>
      </c>
      <c r="X6" t="s">
        <v>726</v>
      </c>
    </row>
    <row r="7" spans="1:24" x14ac:dyDescent="0.3">
      <c r="A7" s="4" t="s">
        <v>99</v>
      </c>
      <c r="F7" s="7"/>
      <c r="M7" s="26" t="s">
        <v>139</v>
      </c>
      <c r="N7" s="25">
        <v>42788</v>
      </c>
      <c r="O7" s="24">
        <v>10</v>
      </c>
      <c r="P7" s="24">
        <v>750</v>
      </c>
      <c r="Q7" s="29">
        <v>7500</v>
      </c>
      <c r="V7" t="s">
        <v>734</v>
      </c>
      <c r="W7" t="s">
        <v>725</v>
      </c>
      <c r="X7" t="s">
        <v>726</v>
      </c>
    </row>
    <row r="8" spans="1:24" x14ac:dyDescent="0.3">
      <c r="A8" s="16" t="s">
        <v>378</v>
      </c>
      <c r="F8" s="7"/>
      <c r="M8" s="26" t="s">
        <v>139</v>
      </c>
      <c r="N8" s="25">
        <v>42923</v>
      </c>
      <c r="O8" s="24">
        <v>10</v>
      </c>
      <c r="P8" s="24">
        <v>700</v>
      </c>
      <c r="Q8" s="29">
        <v>7000</v>
      </c>
      <c r="V8" t="s">
        <v>560</v>
      </c>
      <c r="W8" t="s">
        <v>727</v>
      </c>
      <c r="X8" t="s">
        <v>726</v>
      </c>
    </row>
    <row r="9" spans="1:24" x14ac:dyDescent="0.3">
      <c r="A9" s="16" t="s">
        <v>379</v>
      </c>
      <c r="C9" s="53"/>
      <c r="M9" s="26" t="s">
        <v>139</v>
      </c>
      <c r="N9" s="15">
        <v>43445</v>
      </c>
      <c r="O9" s="24">
        <v>10</v>
      </c>
      <c r="P9" s="30">
        <v>330</v>
      </c>
      <c r="Q9">
        <f>O9*P9</f>
        <v>3300</v>
      </c>
      <c r="V9" t="s">
        <v>728</v>
      </c>
      <c r="W9" s="51" t="s">
        <v>729</v>
      </c>
    </row>
    <row r="10" spans="1:24" x14ac:dyDescent="0.3">
      <c r="A10" s="16" t="s">
        <v>129</v>
      </c>
      <c r="C10" s="5" t="s">
        <v>556</v>
      </c>
      <c r="M10" s="27" t="s">
        <v>95</v>
      </c>
      <c r="N10" s="25">
        <v>42923</v>
      </c>
      <c r="O10" s="24">
        <v>10</v>
      </c>
      <c r="P10" s="24">
        <v>550</v>
      </c>
      <c r="Q10" s="29">
        <v>5500</v>
      </c>
      <c r="V10" t="s">
        <v>731</v>
      </c>
      <c r="W10" t="s">
        <v>730</v>
      </c>
    </row>
    <row r="11" spans="1:24" x14ac:dyDescent="0.3">
      <c r="A11" s="16" t="s">
        <v>130</v>
      </c>
      <c r="C11" s="5" t="s">
        <v>557</v>
      </c>
      <c r="M11" s="27" t="s">
        <v>95</v>
      </c>
      <c r="N11" s="25">
        <v>42788</v>
      </c>
      <c r="O11" s="24">
        <v>12</v>
      </c>
      <c r="P11" s="24">
        <v>600</v>
      </c>
      <c r="Q11" s="29">
        <v>7200</v>
      </c>
      <c r="V11" t="s">
        <v>732</v>
      </c>
      <c r="W11" t="s">
        <v>733</v>
      </c>
    </row>
    <row r="12" spans="1:24" x14ac:dyDescent="0.3">
      <c r="A12" s="16"/>
      <c r="C12" s="52"/>
      <c r="M12" s="27" t="s">
        <v>95</v>
      </c>
      <c r="N12" s="25">
        <v>43445</v>
      </c>
      <c r="O12" s="24">
        <v>33</v>
      </c>
      <c r="P12" s="24">
        <v>228</v>
      </c>
      <c r="Q12" s="29">
        <f>O12*P12</f>
        <v>7524</v>
      </c>
    </row>
    <row r="13" spans="1:24" x14ac:dyDescent="0.3">
      <c r="A13" s="17" t="s">
        <v>131</v>
      </c>
      <c r="B13" s="18" t="s">
        <v>132</v>
      </c>
      <c r="C13" s="18" t="s">
        <v>954</v>
      </c>
      <c r="D13" s="18" t="s">
        <v>133</v>
      </c>
      <c r="E13" s="18" t="s">
        <v>134</v>
      </c>
      <c r="F13" s="18" t="s">
        <v>135</v>
      </c>
      <c r="G13" s="18" t="s">
        <v>136</v>
      </c>
      <c r="H13" s="18" t="s">
        <v>137</v>
      </c>
      <c r="I13" s="18" t="s">
        <v>138</v>
      </c>
      <c r="J13" s="54" t="s">
        <v>226</v>
      </c>
      <c r="M13" s="24" t="s">
        <v>174</v>
      </c>
      <c r="N13" s="25">
        <v>42801</v>
      </c>
      <c r="O13" s="24">
        <v>10</v>
      </c>
      <c r="P13" s="24">
        <v>450</v>
      </c>
      <c r="Q13" s="29">
        <v>4500</v>
      </c>
    </row>
    <row r="14" spans="1:24" x14ac:dyDescent="0.3">
      <c r="A14" s="123" t="s">
        <v>139</v>
      </c>
      <c r="C14">
        <v>178</v>
      </c>
      <c r="D14">
        <v>190</v>
      </c>
      <c r="E14">
        <v>202</v>
      </c>
      <c r="F14">
        <f t="shared" ref="F14:F22" si="0">D14*E14</f>
        <v>38380</v>
      </c>
      <c r="G14">
        <v>382</v>
      </c>
      <c r="H14">
        <f>D14*G14</f>
        <v>72580</v>
      </c>
      <c r="I14">
        <f>H14-F14</f>
        <v>34200</v>
      </c>
      <c r="J14">
        <v>16105</v>
      </c>
      <c r="M14" s="24" t="s">
        <v>174</v>
      </c>
      <c r="N14" s="15">
        <v>43445</v>
      </c>
      <c r="O14" s="30">
        <v>10</v>
      </c>
      <c r="P14" s="30">
        <v>155</v>
      </c>
      <c r="Q14">
        <f>O14*P14</f>
        <v>1550</v>
      </c>
    </row>
    <row r="15" spans="1:24" x14ac:dyDescent="0.3">
      <c r="A15" s="123" t="s">
        <v>127</v>
      </c>
      <c r="C15">
        <v>129</v>
      </c>
      <c r="D15">
        <v>825</v>
      </c>
      <c r="E15">
        <v>75</v>
      </c>
      <c r="F15">
        <f t="shared" si="0"/>
        <v>61875</v>
      </c>
      <c r="G15">
        <v>175</v>
      </c>
      <c r="H15">
        <f t="shared" ref="H15:H22" si="1">D15*G15</f>
        <v>144375</v>
      </c>
      <c r="I15">
        <f t="shared" ref="I15:I22" si="2">H15-F15</f>
        <v>82500</v>
      </c>
      <c r="J15">
        <v>20247</v>
      </c>
      <c r="M15" s="24" t="s">
        <v>175</v>
      </c>
      <c r="N15" s="25">
        <v>42802</v>
      </c>
      <c r="O15" s="24">
        <v>20</v>
      </c>
      <c r="P15" s="24">
        <v>350</v>
      </c>
      <c r="Q15" s="29">
        <v>7000</v>
      </c>
    </row>
    <row r="16" spans="1:24" x14ac:dyDescent="0.3">
      <c r="A16" s="123" t="s">
        <v>95</v>
      </c>
      <c r="C16">
        <v>216</v>
      </c>
      <c r="D16">
        <v>120</v>
      </c>
      <c r="E16">
        <v>174</v>
      </c>
      <c r="F16">
        <f t="shared" si="0"/>
        <v>20880</v>
      </c>
      <c r="G16">
        <v>458</v>
      </c>
      <c r="H16">
        <f t="shared" si="1"/>
        <v>54960</v>
      </c>
      <c r="I16">
        <f t="shared" si="2"/>
        <v>34080</v>
      </c>
      <c r="J16">
        <v>9385</v>
      </c>
      <c r="M16" s="24" t="s">
        <v>175</v>
      </c>
      <c r="N16" s="25">
        <v>43445</v>
      </c>
      <c r="O16" s="24">
        <v>10</v>
      </c>
      <c r="P16" s="24">
        <v>248</v>
      </c>
      <c r="Q16" s="29">
        <f>O16*P16</f>
        <v>2480</v>
      </c>
    </row>
    <row r="17" spans="1:17" x14ac:dyDescent="0.3">
      <c r="A17" s="123" t="s">
        <v>597</v>
      </c>
      <c r="C17">
        <v>306</v>
      </c>
      <c r="D17">
        <v>21</v>
      </c>
      <c r="E17">
        <v>153</v>
      </c>
      <c r="F17">
        <f t="shared" si="0"/>
        <v>3213</v>
      </c>
      <c r="G17">
        <v>426</v>
      </c>
      <c r="H17">
        <f t="shared" si="1"/>
        <v>8946</v>
      </c>
      <c r="I17">
        <f t="shared" si="2"/>
        <v>5733</v>
      </c>
      <c r="J17">
        <v>1212</v>
      </c>
      <c r="M17" s="30" t="s">
        <v>175</v>
      </c>
      <c r="N17" s="15">
        <v>43487</v>
      </c>
      <c r="O17" s="30">
        <v>10</v>
      </c>
      <c r="P17" s="30">
        <v>228</v>
      </c>
      <c r="Q17">
        <f>O17*P17</f>
        <v>2280</v>
      </c>
    </row>
    <row r="18" spans="1:17" x14ac:dyDescent="0.3">
      <c r="A18" s="123" t="s">
        <v>144</v>
      </c>
      <c r="C18">
        <v>280</v>
      </c>
      <c r="D18">
        <v>40</v>
      </c>
      <c r="E18">
        <v>152.5</v>
      </c>
      <c r="F18">
        <f t="shared" si="0"/>
        <v>6100</v>
      </c>
      <c r="G18">
        <v>241</v>
      </c>
      <c r="H18">
        <f t="shared" si="1"/>
        <v>9640</v>
      </c>
      <c r="I18">
        <f t="shared" si="2"/>
        <v>3540</v>
      </c>
      <c r="J18">
        <v>1672</v>
      </c>
      <c r="M18" s="24" t="s">
        <v>127</v>
      </c>
      <c r="N18" s="25">
        <v>43174</v>
      </c>
      <c r="O18" s="24">
        <v>10</v>
      </c>
      <c r="P18" s="24">
        <v>195</v>
      </c>
      <c r="Q18" s="29">
        <v>1950</v>
      </c>
    </row>
    <row r="19" spans="1:17" x14ac:dyDescent="0.3">
      <c r="A19" s="123" t="s">
        <v>561</v>
      </c>
      <c r="D19">
        <v>1</v>
      </c>
      <c r="E19">
        <v>208.5</v>
      </c>
      <c r="F19">
        <f t="shared" si="0"/>
        <v>208.5</v>
      </c>
      <c r="G19">
        <v>293</v>
      </c>
      <c r="H19">
        <f t="shared" si="1"/>
        <v>293</v>
      </c>
      <c r="I19">
        <f t="shared" si="2"/>
        <v>84.5</v>
      </c>
      <c r="J19">
        <v>21.5</v>
      </c>
      <c r="M19" s="24" t="s">
        <v>127</v>
      </c>
      <c r="N19" s="25">
        <v>43445</v>
      </c>
      <c r="O19" s="24">
        <v>10</v>
      </c>
      <c r="P19" s="24">
        <v>142</v>
      </c>
      <c r="Q19" s="29">
        <f>O19*P19</f>
        <v>1420</v>
      </c>
    </row>
    <row r="20" spans="1:17" x14ac:dyDescent="0.3">
      <c r="A20" s="123" t="s">
        <v>596</v>
      </c>
      <c r="C20">
        <v>99</v>
      </c>
      <c r="D20">
        <v>24</v>
      </c>
      <c r="E20">
        <v>167</v>
      </c>
      <c r="F20">
        <f t="shared" si="0"/>
        <v>4008</v>
      </c>
      <c r="G20">
        <v>265</v>
      </c>
      <c r="H20">
        <f t="shared" si="1"/>
        <v>6360</v>
      </c>
      <c r="I20">
        <f t="shared" si="2"/>
        <v>2352</v>
      </c>
      <c r="J20">
        <v>916</v>
      </c>
      <c r="M20" s="24" t="s">
        <v>144</v>
      </c>
      <c r="N20" s="25">
        <v>43175</v>
      </c>
      <c r="O20" s="24">
        <v>10</v>
      </c>
      <c r="P20" s="24">
        <v>183</v>
      </c>
      <c r="Q20" s="29">
        <v>1800</v>
      </c>
    </row>
    <row r="21" spans="1:17" x14ac:dyDescent="0.3">
      <c r="A21" s="123" t="s">
        <v>499</v>
      </c>
      <c r="C21">
        <v>333</v>
      </c>
      <c r="D21">
        <v>27</v>
      </c>
      <c r="E21">
        <v>84</v>
      </c>
      <c r="F21">
        <f t="shared" si="0"/>
        <v>2268</v>
      </c>
      <c r="G21" s="34">
        <v>374</v>
      </c>
      <c r="H21">
        <f t="shared" si="1"/>
        <v>10098</v>
      </c>
      <c r="I21">
        <f t="shared" si="2"/>
        <v>7830</v>
      </c>
      <c r="J21">
        <v>1479</v>
      </c>
      <c r="M21" s="24" t="s">
        <v>144</v>
      </c>
      <c r="N21" s="25">
        <v>43445</v>
      </c>
      <c r="O21" s="24">
        <v>20</v>
      </c>
      <c r="P21" s="24">
        <v>142</v>
      </c>
      <c r="Q21">
        <f>O21*P21</f>
        <v>2840</v>
      </c>
    </row>
    <row r="22" spans="1:17" x14ac:dyDescent="0.3">
      <c r="A22" s="166" t="s">
        <v>555</v>
      </c>
      <c r="D22">
        <v>20</v>
      </c>
      <c r="E22">
        <v>168</v>
      </c>
      <c r="F22">
        <f t="shared" si="0"/>
        <v>3360</v>
      </c>
      <c r="G22">
        <v>253</v>
      </c>
      <c r="H22">
        <f t="shared" si="1"/>
        <v>5060</v>
      </c>
      <c r="I22">
        <f t="shared" si="2"/>
        <v>1700</v>
      </c>
      <c r="J22">
        <v>126</v>
      </c>
      <c r="M22" s="24" t="s">
        <v>128</v>
      </c>
      <c r="N22" s="25">
        <v>43174</v>
      </c>
      <c r="O22" s="24">
        <v>5</v>
      </c>
      <c r="P22" s="24">
        <v>345</v>
      </c>
      <c r="Q22">
        <f>O22*P22</f>
        <v>1725</v>
      </c>
    </row>
    <row r="23" spans="1:17" x14ac:dyDescent="0.3">
      <c r="A23" s="123" t="s">
        <v>500</v>
      </c>
      <c r="D23">
        <v>342</v>
      </c>
      <c r="E23">
        <v>96</v>
      </c>
      <c r="F23">
        <f t="shared" ref="F23:F25" si="3">D23*E23</f>
        <v>32832</v>
      </c>
      <c r="G23" s="34">
        <v>187</v>
      </c>
      <c r="H23">
        <f t="shared" ref="H23:H25" si="4">D23*G23</f>
        <v>63954</v>
      </c>
      <c r="I23">
        <f t="shared" ref="I23:I25" si="5">H23-F23</f>
        <v>31122</v>
      </c>
      <c r="J23">
        <v>5580</v>
      </c>
      <c r="M23" s="24" t="s">
        <v>128</v>
      </c>
      <c r="N23" s="25">
        <v>43175</v>
      </c>
      <c r="O23" s="30">
        <v>5</v>
      </c>
      <c r="P23" s="30">
        <v>340</v>
      </c>
      <c r="Q23">
        <f>O23*P23</f>
        <v>1700</v>
      </c>
    </row>
    <row r="24" spans="1:17" x14ac:dyDescent="0.3">
      <c r="A24" s="123" t="s">
        <v>175</v>
      </c>
      <c r="C24">
        <v>160</v>
      </c>
      <c r="D24">
        <v>126</v>
      </c>
      <c r="E24">
        <v>226</v>
      </c>
      <c r="F24">
        <f t="shared" si="3"/>
        <v>28476</v>
      </c>
      <c r="G24" s="34">
        <v>405</v>
      </c>
      <c r="H24">
        <f t="shared" si="4"/>
        <v>51030</v>
      </c>
      <c r="I24" s="33">
        <f t="shared" si="5"/>
        <v>22554</v>
      </c>
      <c r="J24">
        <v>15113</v>
      </c>
      <c r="M24" s="24" t="s">
        <v>177</v>
      </c>
      <c r="N24" s="25">
        <v>43175</v>
      </c>
      <c r="O24" s="24">
        <v>10</v>
      </c>
      <c r="P24" s="24">
        <v>160</v>
      </c>
      <c r="Q24" s="29">
        <v>1600</v>
      </c>
    </row>
    <row r="25" spans="1:17" x14ac:dyDescent="0.3">
      <c r="A25" s="123" t="s">
        <v>1059</v>
      </c>
      <c r="D25">
        <v>18</v>
      </c>
      <c r="E25">
        <v>800</v>
      </c>
      <c r="F25">
        <f t="shared" si="3"/>
        <v>14400</v>
      </c>
      <c r="G25" s="66">
        <v>1166</v>
      </c>
      <c r="H25">
        <f t="shared" si="4"/>
        <v>20988</v>
      </c>
      <c r="I25">
        <f t="shared" si="5"/>
        <v>6588</v>
      </c>
      <c r="M25" s="24" t="s">
        <v>176</v>
      </c>
      <c r="N25" s="25">
        <v>43175</v>
      </c>
      <c r="O25" s="24">
        <v>10</v>
      </c>
      <c r="P25" s="24">
        <v>443</v>
      </c>
    </row>
    <row r="26" spans="1:17" x14ac:dyDescent="0.3">
      <c r="A26" s="124" t="s">
        <v>220</v>
      </c>
      <c r="D26" s="34">
        <v>2</v>
      </c>
      <c r="E26">
        <v>2725</v>
      </c>
      <c r="F26" s="33">
        <f>D26*E26</f>
        <v>5450</v>
      </c>
      <c r="G26" s="34">
        <v>4114</v>
      </c>
      <c r="H26">
        <f>D26*G26</f>
        <v>8228</v>
      </c>
      <c r="I26" s="33">
        <f>H26-F26</f>
        <v>2778</v>
      </c>
      <c r="J26">
        <v>914</v>
      </c>
      <c r="K26">
        <f>I26/D26</f>
        <v>1389</v>
      </c>
      <c r="M26" s="30" t="s">
        <v>221</v>
      </c>
      <c r="N26" s="15">
        <v>43445</v>
      </c>
      <c r="O26" s="30">
        <v>10</v>
      </c>
      <c r="P26" s="30">
        <v>155</v>
      </c>
      <c r="Q26">
        <f>O26*P26</f>
        <v>1550</v>
      </c>
    </row>
    <row r="27" spans="1:17" x14ac:dyDescent="0.3">
      <c r="A27" s="124" t="s">
        <v>369</v>
      </c>
      <c r="D27" s="34">
        <v>30</v>
      </c>
      <c r="E27" s="33">
        <v>750</v>
      </c>
      <c r="F27" s="33">
        <f>D27*E27</f>
        <v>22500</v>
      </c>
      <c r="G27" s="34">
        <v>1961</v>
      </c>
      <c r="H27">
        <f>D27*G27</f>
        <v>58830</v>
      </c>
      <c r="I27" s="33">
        <f>H27-F27</f>
        <v>36330</v>
      </c>
      <c r="J27">
        <v>6765</v>
      </c>
      <c r="K27">
        <f>I27/D27</f>
        <v>1211</v>
      </c>
      <c r="M27" s="30" t="s">
        <v>221</v>
      </c>
      <c r="N27" s="15">
        <v>44120</v>
      </c>
      <c r="O27" s="30">
        <v>10</v>
      </c>
      <c r="P27" s="30">
        <v>112</v>
      </c>
      <c r="Q27">
        <f>O27*P27</f>
        <v>1120</v>
      </c>
    </row>
    <row r="28" spans="1:17" x14ac:dyDescent="0.3">
      <c r="A28" s="124" t="s">
        <v>366</v>
      </c>
      <c r="D28" s="34">
        <v>20</v>
      </c>
      <c r="E28" s="36">
        <v>550</v>
      </c>
      <c r="F28" s="33">
        <f>D28*E28</f>
        <v>11000</v>
      </c>
      <c r="G28" s="34">
        <v>1806</v>
      </c>
      <c r="H28">
        <f>D28*G28</f>
        <v>36120</v>
      </c>
      <c r="I28" s="33">
        <f>H28-F28</f>
        <v>25120</v>
      </c>
      <c r="J28">
        <v>6520</v>
      </c>
      <c r="K28">
        <f>I28/D28</f>
        <v>1256</v>
      </c>
      <c r="M28" s="30" t="s">
        <v>351</v>
      </c>
      <c r="N28" s="15">
        <v>44118</v>
      </c>
      <c r="O28">
        <v>10</v>
      </c>
      <c r="P28">
        <v>460</v>
      </c>
      <c r="Q28">
        <f>O28*P28</f>
        <v>4600</v>
      </c>
    </row>
    <row r="29" spans="1:17" x14ac:dyDescent="0.3">
      <c r="A29" s="173" t="s">
        <v>1027</v>
      </c>
      <c r="C29">
        <v>79</v>
      </c>
      <c r="D29" s="66">
        <v>180</v>
      </c>
      <c r="E29">
        <v>268</v>
      </c>
      <c r="F29" s="120">
        <f>D29*E29</f>
        <v>48240</v>
      </c>
      <c r="G29" s="33">
        <v>271</v>
      </c>
      <c r="H29">
        <f>D29*G29</f>
        <v>48780</v>
      </c>
      <c r="I29" s="66">
        <f>H29-F29</f>
        <v>540</v>
      </c>
      <c r="M29" s="30" t="s">
        <v>351</v>
      </c>
    </row>
    <row r="30" spans="1:17" x14ac:dyDescent="0.3">
      <c r="M30" s="30" t="s">
        <v>350</v>
      </c>
      <c r="N30" s="15">
        <v>44116</v>
      </c>
      <c r="O30" s="30">
        <v>10</v>
      </c>
      <c r="P30" s="30">
        <v>560</v>
      </c>
      <c r="Q30">
        <f t="shared" ref="Q30:Q39" si="6">O30*P30</f>
        <v>5600</v>
      </c>
    </row>
    <row r="31" spans="1:17" x14ac:dyDescent="0.3">
      <c r="A31" s="125" t="s">
        <v>384</v>
      </c>
      <c r="D31" s="34">
        <v>532</v>
      </c>
      <c r="E31" s="36">
        <v>269</v>
      </c>
      <c r="F31" s="33">
        <f>D31*E31</f>
        <v>143108</v>
      </c>
      <c r="G31" s="34">
        <v>315</v>
      </c>
      <c r="H31">
        <f>D31*G31</f>
        <v>167580</v>
      </c>
      <c r="I31" s="143">
        <f>H31-F31</f>
        <v>24472</v>
      </c>
      <c r="J31">
        <v>27052</v>
      </c>
      <c r="M31" s="30" t="s">
        <v>347</v>
      </c>
      <c r="N31" s="15">
        <v>44120</v>
      </c>
      <c r="O31">
        <v>10</v>
      </c>
      <c r="P31">
        <v>330</v>
      </c>
      <c r="Q31">
        <f t="shared" si="6"/>
        <v>3300</v>
      </c>
    </row>
    <row r="32" spans="1:17" x14ac:dyDescent="0.3">
      <c r="A32" s="125" t="s">
        <v>497</v>
      </c>
      <c r="D32" s="34">
        <v>2</v>
      </c>
      <c r="E32" s="33">
        <v>531</v>
      </c>
      <c r="F32" s="33">
        <f t="shared" ref="F32:F34" si="7">D32*E32</f>
        <v>1062</v>
      </c>
      <c r="G32" s="34">
        <v>632</v>
      </c>
      <c r="H32">
        <f t="shared" ref="H32:H34" si="8">D32*G32</f>
        <v>1264</v>
      </c>
      <c r="I32" s="33">
        <f t="shared" ref="I32:I34" si="9">H32-F32</f>
        <v>202</v>
      </c>
      <c r="J32">
        <v>11</v>
      </c>
      <c r="M32" s="30" t="s">
        <v>347</v>
      </c>
      <c r="N32" s="15">
        <v>44166</v>
      </c>
      <c r="O32">
        <v>100</v>
      </c>
      <c r="P32">
        <v>325</v>
      </c>
      <c r="Q32">
        <f t="shared" si="6"/>
        <v>32500</v>
      </c>
    </row>
    <row r="33" spans="1:18" x14ac:dyDescent="0.3">
      <c r="A33" s="126" t="s">
        <v>540</v>
      </c>
      <c r="D33" s="66">
        <v>1</v>
      </c>
      <c r="E33" s="120">
        <v>706</v>
      </c>
      <c r="F33" s="66">
        <f t="shared" si="7"/>
        <v>706</v>
      </c>
      <c r="G33" s="36">
        <v>1207</v>
      </c>
      <c r="H33">
        <f t="shared" si="8"/>
        <v>1207</v>
      </c>
      <c r="I33" s="66">
        <f t="shared" si="9"/>
        <v>501</v>
      </c>
      <c r="J33">
        <v>32.65</v>
      </c>
      <c r="M33" s="30" t="s">
        <v>346</v>
      </c>
      <c r="N33" s="15">
        <v>44120</v>
      </c>
      <c r="O33">
        <v>10</v>
      </c>
      <c r="P33">
        <v>260</v>
      </c>
      <c r="Q33">
        <f t="shared" si="6"/>
        <v>2600</v>
      </c>
    </row>
    <row r="34" spans="1:18" x14ac:dyDescent="0.3">
      <c r="A34" s="126" t="s">
        <v>324</v>
      </c>
      <c r="D34" s="66">
        <v>1</v>
      </c>
      <c r="E34" s="120">
        <v>2115</v>
      </c>
      <c r="F34" s="66">
        <f t="shared" si="7"/>
        <v>2115</v>
      </c>
      <c r="G34" s="36">
        <v>2836</v>
      </c>
      <c r="H34">
        <f t="shared" si="8"/>
        <v>2836</v>
      </c>
      <c r="I34" s="66">
        <f t="shared" si="9"/>
        <v>721</v>
      </c>
      <c r="J34" s="66">
        <v>76</v>
      </c>
      <c r="M34" s="30" t="s">
        <v>220</v>
      </c>
      <c r="N34" s="15">
        <v>44141</v>
      </c>
      <c r="O34">
        <v>2</v>
      </c>
      <c r="P34">
        <v>2750</v>
      </c>
      <c r="Q34">
        <f t="shared" si="6"/>
        <v>5500</v>
      </c>
    </row>
    <row r="35" spans="1:18" x14ac:dyDescent="0.3">
      <c r="A35" s="126" t="s">
        <v>373</v>
      </c>
      <c r="D35" s="34">
        <v>20</v>
      </c>
      <c r="E35">
        <v>810</v>
      </c>
      <c r="F35" s="33">
        <f>D35*E35</f>
        <v>16200</v>
      </c>
      <c r="G35" s="34">
        <v>1444</v>
      </c>
      <c r="H35">
        <f>D35*G35</f>
        <v>28880</v>
      </c>
      <c r="I35" s="33">
        <f>H35-F35</f>
        <v>12680</v>
      </c>
      <c r="J35">
        <v>295</v>
      </c>
      <c r="K35">
        <f>I35/D35</f>
        <v>634</v>
      </c>
      <c r="N35" t="s">
        <v>554</v>
      </c>
      <c r="O35">
        <v>10</v>
      </c>
      <c r="P35">
        <v>1615</v>
      </c>
      <c r="Q35">
        <f t="shared" si="6"/>
        <v>16150</v>
      </c>
    </row>
    <row r="36" spans="1:18" x14ac:dyDescent="0.3">
      <c r="A36" s="126" t="s">
        <v>363</v>
      </c>
      <c r="D36" s="34">
        <v>4</v>
      </c>
      <c r="E36" s="33">
        <v>2250</v>
      </c>
      <c r="F36" s="33">
        <f>D36*E36</f>
        <v>9000</v>
      </c>
      <c r="G36" s="34">
        <v>2272</v>
      </c>
      <c r="H36">
        <f>D36*G36</f>
        <v>9088</v>
      </c>
      <c r="I36" s="33">
        <f>H36-F36</f>
        <v>88</v>
      </c>
      <c r="J36">
        <v>489.6</v>
      </c>
      <c r="K36">
        <f>I36/D36</f>
        <v>22</v>
      </c>
      <c r="N36" t="s">
        <v>553</v>
      </c>
      <c r="O36">
        <v>4</v>
      </c>
      <c r="P36">
        <v>2300</v>
      </c>
      <c r="Q36">
        <f t="shared" si="6"/>
        <v>9200</v>
      </c>
    </row>
    <row r="37" spans="1:18" x14ac:dyDescent="0.3">
      <c r="A37" s="126" t="s">
        <v>1032</v>
      </c>
      <c r="D37" s="66">
        <v>2</v>
      </c>
      <c r="E37" s="120">
        <v>759</v>
      </c>
      <c r="F37" s="33">
        <f>D37*E37</f>
        <v>1518</v>
      </c>
      <c r="G37" s="36">
        <v>730</v>
      </c>
      <c r="H37">
        <f>D37*G37</f>
        <v>1460</v>
      </c>
      <c r="I37" s="66">
        <f>H37-F37</f>
        <v>-58</v>
      </c>
      <c r="M37" s="30" t="s">
        <v>360</v>
      </c>
      <c r="N37" s="15">
        <v>44141</v>
      </c>
      <c r="O37">
        <v>10</v>
      </c>
      <c r="P37">
        <v>160</v>
      </c>
      <c r="Q37">
        <f t="shared" si="6"/>
        <v>1600</v>
      </c>
    </row>
    <row r="38" spans="1:18" x14ac:dyDescent="0.3">
      <c r="A38" s="126" t="s">
        <v>1141</v>
      </c>
      <c r="D38" s="66">
        <v>18</v>
      </c>
      <c r="E38" s="120">
        <v>1160</v>
      </c>
      <c r="F38" s="33">
        <f>D38*E38</f>
        <v>20880</v>
      </c>
      <c r="G38" s="36">
        <v>1286</v>
      </c>
      <c r="H38">
        <f>D38*G38</f>
        <v>23148</v>
      </c>
      <c r="I38" s="66">
        <f>H38-F38</f>
        <v>2268</v>
      </c>
      <c r="N38" s="15">
        <v>44141</v>
      </c>
      <c r="O38">
        <v>10</v>
      </c>
      <c r="P38">
        <v>2050</v>
      </c>
      <c r="Q38">
        <f t="shared" si="6"/>
        <v>20500</v>
      </c>
    </row>
    <row r="39" spans="1:18" x14ac:dyDescent="0.3">
      <c r="A39" s="3" t="s">
        <v>1035</v>
      </c>
      <c r="D39" s="66">
        <v>20</v>
      </c>
      <c r="E39" s="66">
        <v>955</v>
      </c>
      <c r="F39" s="66">
        <f t="shared" ref="F39:F45" si="10">D39*E39</f>
        <v>19100</v>
      </c>
      <c r="G39" s="66">
        <v>1002</v>
      </c>
      <c r="H39">
        <f t="shared" ref="H39:H44" si="11">D39*G39</f>
        <v>20040</v>
      </c>
      <c r="I39" s="66">
        <f t="shared" ref="I39:I44" si="12">H39-F39</f>
        <v>940</v>
      </c>
      <c r="J39">
        <v>40</v>
      </c>
      <c r="K39">
        <f>I40/D40</f>
        <v>249</v>
      </c>
      <c r="M39">
        <v>360</v>
      </c>
      <c r="N39" s="15">
        <v>44166</v>
      </c>
      <c r="O39">
        <v>10</v>
      </c>
      <c r="P39">
        <v>575</v>
      </c>
      <c r="Q39">
        <f t="shared" si="6"/>
        <v>5750</v>
      </c>
    </row>
    <row r="40" spans="1:18" x14ac:dyDescent="0.3">
      <c r="A40" s="218" t="s">
        <v>969</v>
      </c>
      <c r="C40" t="s">
        <v>1080</v>
      </c>
      <c r="D40" s="66">
        <v>53</v>
      </c>
      <c r="E40" s="66">
        <v>281</v>
      </c>
      <c r="F40" s="66">
        <f t="shared" si="10"/>
        <v>14893</v>
      </c>
      <c r="G40" s="66">
        <v>530</v>
      </c>
      <c r="H40">
        <f t="shared" si="11"/>
        <v>28090</v>
      </c>
      <c r="I40" s="66">
        <f t="shared" si="12"/>
        <v>13197</v>
      </c>
      <c r="J40">
        <v>191</v>
      </c>
      <c r="K40" s="51">
        <f>I41/D41</f>
        <v>1348</v>
      </c>
    </row>
    <row r="41" spans="1:18" x14ac:dyDescent="0.3">
      <c r="A41" s="218" t="s">
        <v>1021</v>
      </c>
      <c r="D41" s="168">
        <v>20</v>
      </c>
      <c r="E41" s="168">
        <v>2075</v>
      </c>
      <c r="F41" s="168">
        <f t="shared" si="10"/>
        <v>41500</v>
      </c>
      <c r="G41" s="168">
        <v>3423</v>
      </c>
      <c r="H41" s="51">
        <f t="shared" si="11"/>
        <v>68460</v>
      </c>
      <c r="I41" s="168">
        <f t="shared" si="12"/>
        <v>26960</v>
      </c>
    </row>
    <row r="42" spans="1:18" x14ac:dyDescent="0.3">
      <c r="A42" s="219" t="s">
        <v>449</v>
      </c>
      <c r="D42" s="34">
        <v>153</v>
      </c>
      <c r="E42" s="33">
        <v>1052</v>
      </c>
      <c r="F42" s="33">
        <f t="shared" si="10"/>
        <v>160956</v>
      </c>
      <c r="G42" s="34">
        <v>1352</v>
      </c>
      <c r="H42">
        <f t="shared" si="11"/>
        <v>206856</v>
      </c>
      <c r="I42" s="33">
        <f t="shared" si="12"/>
        <v>45900</v>
      </c>
      <c r="J42">
        <v>344</v>
      </c>
      <c r="P42" s="3" t="s">
        <v>699</v>
      </c>
      <c r="R42" s="3"/>
    </row>
    <row r="43" spans="1:18" x14ac:dyDescent="0.3">
      <c r="A43" s="3" t="s">
        <v>1033</v>
      </c>
      <c r="D43" s="66">
        <v>20</v>
      </c>
      <c r="E43" s="66">
        <v>1250</v>
      </c>
      <c r="F43" s="66">
        <f t="shared" si="10"/>
        <v>25000</v>
      </c>
      <c r="G43" s="66">
        <v>942</v>
      </c>
      <c r="H43">
        <f t="shared" si="11"/>
        <v>18840</v>
      </c>
      <c r="I43" s="66">
        <f t="shared" si="12"/>
        <v>-6160</v>
      </c>
    </row>
    <row r="44" spans="1:18" x14ac:dyDescent="0.3">
      <c r="A44" s="3" t="s">
        <v>1034</v>
      </c>
      <c r="D44" s="66">
        <v>45</v>
      </c>
      <c r="E44" s="66">
        <v>770</v>
      </c>
      <c r="F44" s="66">
        <f t="shared" si="10"/>
        <v>34650</v>
      </c>
      <c r="G44" s="66">
        <v>607</v>
      </c>
      <c r="H44">
        <f t="shared" si="11"/>
        <v>27315</v>
      </c>
      <c r="I44" s="66">
        <f t="shared" si="12"/>
        <v>-7335</v>
      </c>
      <c r="R44" s="15"/>
    </row>
    <row r="45" spans="1:18" x14ac:dyDescent="0.3">
      <c r="D45" s="66">
        <v>90</v>
      </c>
      <c r="E45" s="66">
        <v>570</v>
      </c>
      <c r="F45" s="66">
        <f t="shared" si="10"/>
        <v>51300</v>
      </c>
    </row>
    <row r="46" spans="1:18" x14ac:dyDescent="0.3">
      <c r="A46" s="32" t="s">
        <v>839</v>
      </c>
      <c r="D46" s="33">
        <v>20</v>
      </c>
      <c r="E46" s="36">
        <v>226</v>
      </c>
      <c r="F46" s="66">
        <f t="shared" ref="F46:F56" si="13">D46*E46</f>
        <v>4520</v>
      </c>
      <c r="G46" s="66">
        <v>717</v>
      </c>
      <c r="H46">
        <f t="shared" ref="H46:H53" si="14">D46*G46</f>
        <v>14340</v>
      </c>
      <c r="I46" s="66">
        <f t="shared" ref="I46:I55" si="15">H46-F46</f>
        <v>9820</v>
      </c>
      <c r="J46">
        <v>2400</v>
      </c>
      <c r="K46">
        <f t="shared" ref="K46:K56" si="16">I46/D46</f>
        <v>491</v>
      </c>
      <c r="N46" s="7"/>
      <c r="R46" s="15"/>
    </row>
    <row r="47" spans="1:18" x14ac:dyDescent="0.3">
      <c r="A47" s="32" t="s">
        <v>929</v>
      </c>
      <c r="D47" s="33">
        <v>10</v>
      </c>
      <c r="E47" s="36">
        <v>279</v>
      </c>
      <c r="F47" s="66">
        <f t="shared" si="13"/>
        <v>2790</v>
      </c>
      <c r="G47" s="66">
        <v>572</v>
      </c>
      <c r="H47">
        <f t="shared" si="14"/>
        <v>5720</v>
      </c>
      <c r="I47" s="66">
        <f t="shared" si="15"/>
        <v>2930</v>
      </c>
      <c r="K47">
        <f t="shared" si="16"/>
        <v>293</v>
      </c>
      <c r="N47" s="7">
        <v>45050</v>
      </c>
      <c r="Q47" s="7"/>
      <c r="R47" s="15"/>
    </row>
    <row r="48" spans="1:18" x14ac:dyDescent="0.3">
      <c r="A48" s="35" t="s">
        <v>376</v>
      </c>
      <c r="D48" s="66">
        <v>347</v>
      </c>
      <c r="E48" s="66">
        <v>568</v>
      </c>
      <c r="F48" s="66">
        <f t="shared" si="13"/>
        <v>197096</v>
      </c>
      <c r="G48" s="66">
        <v>467</v>
      </c>
      <c r="H48">
        <f t="shared" si="14"/>
        <v>162049</v>
      </c>
      <c r="I48" s="66">
        <f t="shared" si="15"/>
        <v>-35047</v>
      </c>
      <c r="J48">
        <v>780.75</v>
      </c>
      <c r="K48">
        <f t="shared" si="16"/>
        <v>-101</v>
      </c>
      <c r="N48" s="7"/>
      <c r="Q48" s="7"/>
      <c r="R48" s="15"/>
    </row>
    <row r="49" spans="1:19" x14ac:dyDescent="0.3">
      <c r="A49" s="107" t="s">
        <v>409</v>
      </c>
      <c r="D49" s="66">
        <v>180</v>
      </c>
      <c r="E49" s="66">
        <v>300</v>
      </c>
      <c r="F49" s="66">
        <f t="shared" si="13"/>
        <v>54000</v>
      </c>
      <c r="G49" s="66">
        <v>713</v>
      </c>
      <c r="H49">
        <f t="shared" si="14"/>
        <v>128340</v>
      </c>
      <c r="I49" s="66">
        <f t="shared" si="15"/>
        <v>74340</v>
      </c>
      <c r="J49">
        <v>2763</v>
      </c>
      <c r="K49">
        <f t="shared" si="16"/>
        <v>413</v>
      </c>
    </row>
    <row r="50" spans="1:19" x14ac:dyDescent="0.3">
      <c r="A50" s="35" t="s">
        <v>364</v>
      </c>
      <c r="D50" s="34">
        <v>10</v>
      </c>
      <c r="E50" s="36">
        <v>560</v>
      </c>
      <c r="F50" s="33">
        <f t="shared" si="13"/>
        <v>5600</v>
      </c>
      <c r="G50" s="34">
        <v>2327</v>
      </c>
      <c r="H50">
        <f t="shared" si="14"/>
        <v>23270</v>
      </c>
      <c r="I50" s="33">
        <f t="shared" si="15"/>
        <v>17670</v>
      </c>
      <c r="J50">
        <v>115</v>
      </c>
      <c r="K50">
        <f t="shared" si="16"/>
        <v>1767</v>
      </c>
      <c r="Q50" s="15" t="s">
        <v>1052</v>
      </c>
      <c r="R50" s="7" t="s">
        <v>1053</v>
      </c>
      <c r="S50" t="s">
        <v>1054</v>
      </c>
    </row>
    <row r="51" spans="1:19" x14ac:dyDescent="0.3">
      <c r="A51" s="32" t="s">
        <v>345</v>
      </c>
      <c r="D51" s="66">
        <v>20</v>
      </c>
      <c r="E51" s="66">
        <v>268</v>
      </c>
      <c r="F51" s="66">
        <f t="shared" si="13"/>
        <v>5360</v>
      </c>
      <c r="G51" s="66">
        <v>594</v>
      </c>
      <c r="H51">
        <f t="shared" si="14"/>
        <v>11880</v>
      </c>
      <c r="I51" s="66">
        <f t="shared" si="15"/>
        <v>6520</v>
      </c>
      <c r="K51">
        <f t="shared" si="16"/>
        <v>326</v>
      </c>
      <c r="P51" s="3"/>
      <c r="Q51" s="7"/>
      <c r="S51" s="7"/>
    </row>
    <row r="52" spans="1:19" x14ac:dyDescent="0.3">
      <c r="A52" s="107" t="s">
        <v>401</v>
      </c>
      <c r="D52" s="66">
        <v>20</v>
      </c>
      <c r="E52" s="66">
        <v>482</v>
      </c>
      <c r="F52" s="66">
        <f t="shared" si="13"/>
        <v>9640</v>
      </c>
      <c r="G52" s="66">
        <v>483</v>
      </c>
      <c r="H52">
        <f t="shared" si="14"/>
        <v>9660</v>
      </c>
      <c r="I52" s="66">
        <f t="shared" si="15"/>
        <v>20</v>
      </c>
      <c r="J52">
        <v>240</v>
      </c>
      <c r="K52">
        <f t="shared" si="16"/>
        <v>1</v>
      </c>
      <c r="P52" s="3"/>
      <c r="Q52" s="7"/>
      <c r="S52" s="7">
        <v>45924</v>
      </c>
    </row>
    <row r="53" spans="1:19" x14ac:dyDescent="0.3">
      <c r="A53" s="32" t="s">
        <v>841</v>
      </c>
      <c r="D53" s="66">
        <v>3</v>
      </c>
      <c r="E53" s="66">
        <v>829</v>
      </c>
      <c r="F53" s="66">
        <v>2295</v>
      </c>
      <c r="G53" s="66">
        <v>2508</v>
      </c>
      <c r="H53">
        <f t="shared" si="14"/>
        <v>7524</v>
      </c>
      <c r="I53" s="66">
        <f t="shared" si="15"/>
        <v>5229</v>
      </c>
      <c r="J53">
        <v>36</v>
      </c>
      <c r="K53">
        <f t="shared" si="16"/>
        <v>1743</v>
      </c>
      <c r="N53" s="88"/>
      <c r="O53" t="s">
        <v>220</v>
      </c>
      <c r="Q53" s="7"/>
      <c r="R53" s="7"/>
      <c r="S53" s="7"/>
    </row>
    <row r="54" spans="1:19" x14ac:dyDescent="0.3">
      <c r="A54" s="107" t="s">
        <v>355</v>
      </c>
      <c r="D54" s="66">
        <v>30</v>
      </c>
      <c r="E54" s="66">
        <v>279</v>
      </c>
      <c r="F54" s="66">
        <f t="shared" si="13"/>
        <v>8370</v>
      </c>
      <c r="G54" s="66">
        <v>236</v>
      </c>
      <c r="H54">
        <f>G54*D54</f>
        <v>7080</v>
      </c>
      <c r="I54" s="66">
        <f t="shared" si="15"/>
        <v>-1290</v>
      </c>
      <c r="J54">
        <v>180</v>
      </c>
      <c r="K54">
        <f t="shared" si="16"/>
        <v>-43</v>
      </c>
    </row>
    <row r="55" spans="1:19" x14ac:dyDescent="0.3">
      <c r="A55" s="35" t="s">
        <v>371</v>
      </c>
      <c r="D55" s="66">
        <v>436</v>
      </c>
      <c r="E55" s="66">
        <v>388</v>
      </c>
      <c r="F55" s="66">
        <f t="shared" si="13"/>
        <v>169168</v>
      </c>
      <c r="G55" s="222">
        <v>1373</v>
      </c>
      <c r="H55">
        <f>D55*G55</f>
        <v>598628</v>
      </c>
      <c r="I55" s="66">
        <f t="shared" si="15"/>
        <v>429460</v>
      </c>
      <c r="J55">
        <v>3188</v>
      </c>
      <c r="K55">
        <f t="shared" si="16"/>
        <v>985</v>
      </c>
      <c r="N55" s="7">
        <v>45953</v>
      </c>
    </row>
    <row r="56" spans="1:19" x14ac:dyDescent="0.3">
      <c r="A56" s="107" t="s">
        <v>422</v>
      </c>
      <c r="D56" s="66">
        <v>145</v>
      </c>
      <c r="E56" s="66">
        <v>769</v>
      </c>
      <c r="F56" s="66">
        <f t="shared" si="13"/>
        <v>111505</v>
      </c>
      <c r="G56" s="66">
        <v>1183</v>
      </c>
      <c r="H56">
        <f>D56*G56</f>
        <v>171535</v>
      </c>
      <c r="I56" s="66">
        <f t="shared" ref="I56" si="17">H56-F56</f>
        <v>60030</v>
      </c>
      <c r="J56">
        <v>555</v>
      </c>
      <c r="K56">
        <f t="shared" si="16"/>
        <v>414</v>
      </c>
    </row>
    <row r="57" spans="1:19" x14ac:dyDescent="0.3">
      <c r="A57" s="32" t="s">
        <v>1040</v>
      </c>
      <c r="D57" s="66">
        <v>72</v>
      </c>
      <c r="G57" s="66">
        <v>1849</v>
      </c>
      <c r="H57">
        <f>D57*G57</f>
        <v>133128</v>
      </c>
      <c r="N57" t="s">
        <v>1138</v>
      </c>
      <c r="O57" t="s">
        <v>1136</v>
      </c>
    </row>
    <row r="58" spans="1:19" x14ac:dyDescent="0.3">
      <c r="A58" s="107" t="s">
        <v>351</v>
      </c>
      <c r="D58" s="66">
        <v>10</v>
      </c>
      <c r="E58" s="66">
        <v>457</v>
      </c>
      <c r="F58" s="66">
        <f t="shared" ref="F58" si="18">D58*E58</f>
        <v>4570</v>
      </c>
      <c r="G58" s="66">
        <v>419</v>
      </c>
      <c r="H58">
        <f t="shared" ref="H58" si="19">D58*G58</f>
        <v>4190</v>
      </c>
      <c r="I58" s="66">
        <f t="shared" ref="I58" si="20">H58-F58</f>
        <v>-380</v>
      </c>
      <c r="J58">
        <v>30</v>
      </c>
      <c r="K58">
        <f t="shared" ref="K58" si="21">I58/D58</f>
        <v>-38</v>
      </c>
      <c r="N58" t="s">
        <v>1138</v>
      </c>
      <c r="O58" t="s">
        <v>1137</v>
      </c>
    </row>
    <row r="59" spans="1:19" x14ac:dyDescent="0.3">
      <c r="M59">
        <f>22*2</f>
        <v>44</v>
      </c>
    </row>
    <row r="60" spans="1:19" x14ac:dyDescent="0.3">
      <c r="A60" t="s">
        <v>374</v>
      </c>
      <c r="D60" s="34">
        <v>56</v>
      </c>
      <c r="E60">
        <v>1216</v>
      </c>
      <c r="F60" s="33">
        <f t="shared" ref="F60" si="22">D60*E60</f>
        <v>68096</v>
      </c>
      <c r="G60" s="34">
        <v>1223</v>
      </c>
      <c r="H60">
        <f t="shared" ref="H60" si="23">D60*G60</f>
        <v>68488</v>
      </c>
      <c r="I60" s="33">
        <f t="shared" ref="I60" si="24">H60-F60</f>
        <v>392</v>
      </c>
      <c r="J60">
        <v>240</v>
      </c>
      <c r="K60">
        <f t="shared" ref="K60" si="25">I60/D60</f>
        <v>7</v>
      </c>
      <c r="M60" s="112">
        <v>45510</v>
      </c>
    </row>
    <row r="61" spans="1:19" x14ac:dyDescent="0.3">
      <c r="A61" s="32" t="s">
        <v>931</v>
      </c>
      <c r="D61" s="66">
        <v>10</v>
      </c>
      <c r="E61" s="66">
        <v>93.58</v>
      </c>
      <c r="F61" s="66">
        <f t="shared" ref="F61:F66" si="26">D61*E61</f>
        <v>935.8</v>
      </c>
      <c r="G61" s="66">
        <v>362</v>
      </c>
      <c r="H61">
        <f t="shared" ref="H61:H66" si="27">D61*G61</f>
        <v>3620</v>
      </c>
      <c r="I61" s="66">
        <f t="shared" ref="I61:I66" si="28">H61-F61</f>
        <v>2684.2</v>
      </c>
      <c r="K61">
        <f>I61/D61</f>
        <v>268.41999999999996</v>
      </c>
      <c r="N61" s="7"/>
    </row>
    <row r="62" spans="1:19" x14ac:dyDescent="0.3">
      <c r="A62" s="35" t="s">
        <v>141</v>
      </c>
      <c r="D62" s="34">
        <v>10</v>
      </c>
      <c r="E62" s="34">
        <v>160</v>
      </c>
      <c r="F62" s="33">
        <f t="shared" si="26"/>
        <v>1600</v>
      </c>
      <c r="G62" s="34">
        <v>118</v>
      </c>
      <c r="H62">
        <f t="shared" si="27"/>
        <v>1180</v>
      </c>
      <c r="I62" s="33">
        <f t="shared" si="28"/>
        <v>-420</v>
      </c>
      <c r="J62">
        <v>161.5</v>
      </c>
      <c r="K62">
        <f>I62/D62</f>
        <v>-42</v>
      </c>
      <c r="M62" s="112">
        <v>45510</v>
      </c>
    </row>
    <row r="63" spans="1:19" x14ac:dyDescent="0.3">
      <c r="A63" s="35" t="s">
        <v>368</v>
      </c>
      <c r="D63" s="34">
        <v>111</v>
      </c>
      <c r="E63" s="34">
        <v>77</v>
      </c>
      <c r="F63" s="33">
        <f t="shared" si="26"/>
        <v>8547</v>
      </c>
      <c r="G63" s="34">
        <v>90</v>
      </c>
      <c r="H63">
        <f t="shared" si="27"/>
        <v>9990</v>
      </c>
      <c r="I63" s="33">
        <f t="shared" si="28"/>
        <v>1443</v>
      </c>
      <c r="J63">
        <v>170</v>
      </c>
      <c r="K63">
        <f>I63/D63</f>
        <v>13</v>
      </c>
    </row>
    <row r="64" spans="1:19" x14ac:dyDescent="0.3">
      <c r="A64" s="35" t="s">
        <v>140</v>
      </c>
      <c r="C64">
        <v>436</v>
      </c>
      <c r="D64" s="34">
        <v>11</v>
      </c>
      <c r="E64" s="36">
        <v>364</v>
      </c>
      <c r="F64">
        <f t="shared" si="26"/>
        <v>4004</v>
      </c>
      <c r="G64">
        <v>1465</v>
      </c>
      <c r="H64">
        <f t="shared" si="27"/>
        <v>16115</v>
      </c>
      <c r="I64">
        <f t="shared" si="28"/>
        <v>12111</v>
      </c>
      <c r="J64">
        <v>377.5</v>
      </c>
      <c r="K64">
        <f>I64/D64</f>
        <v>1101</v>
      </c>
      <c r="Q64" s="7"/>
      <c r="R64" s="7"/>
      <c r="S64">
        <v>9845904598</v>
      </c>
    </row>
    <row r="65" spans="1:19" x14ac:dyDescent="0.3">
      <c r="A65" s="35" t="s">
        <v>367</v>
      </c>
      <c r="D65" s="34">
        <v>10</v>
      </c>
      <c r="E65" s="36">
        <v>443</v>
      </c>
      <c r="F65" s="33">
        <f t="shared" si="26"/>
        <v>4430</v>
      </c>
      <c r="G65" s="34">
        <v>780</v>
      </c>
      <c r="H65">
        <f t="shared" si="27"/>
        <v>7800</v>
      </c>
      <c r="I65" s="33">
        <f t="shared" si="28"/>
        <v>3370</v>
      </c>
      <c r="J65">
        <v>72.3</v>
      </c>
      <c r="K65">
        <f>I65/D65</f>
        <v>337</v>
      </c>
      <c r="S65">
        <v>9620433281</v>
      </c>
    </row>
    <row r="66" spans="1:19" x14ac:dyDescent="0.3">
      <c r="A66" s="32" t="s">
        <v>598</v>
      </c>
      <c r="C66">
        <v>614</v>
      </c>
      <c r="D66" s="33">
        <v>40</v>
      </c>
      <c r="E66" s="36">
        <v>146</v>
      </c>
      <c r="F66" s="66">
        <f t="shared" si="26"/>
        <v>5840</v>
      </c>
      <c r="G66" s="34">
        <v>889</v>
      </c>
      <c r="H66">
        <f t="shared" si="27"/>
        <v>35560</v>
      </c>
      <c r="I66" s="33">
        <f t="shared" si="28"/>
        <v>29720</v>
      </c>
      <c r="J66">
        <v>412</v>
      </c>
      <c r="S66">
        <v>9341711885</v>
      </c>
    </row>
    <row r="67" spans="1:19" x14ac:dyDescent="0.3">
      <c r="N67" s="7"/>
    </row>
    <row r="68" spans="1:19" x14ac:dyDescent="0.3">
      <c r="A68" s="35" t="s">
        <v>372</v>
      </c>
      <c r="D68" s="34">
        <v>45</v>
      </c>
      <c r="E68" s="33">
        <v>57</v>
      </c>
      <c r="F68" s="33">
        <f t="shared" ref="F68:F73" si="29">D68*E68</f>
        <v>2565</v>
      </c>
      <c r="G68" s="34">
        <v>120</v>
      </c>
      <c r="H68">
        <f t="shared" ref="H68:H69" si="30">D68*G68</f>
        <v>5400</v>
      </c>
      <c r="I68" s="33">
        <f t="shared" ref="I68:I73" si="31">H68-F68</f>
        <v>2835</v>
      </c>
      <c r="J68">
        <v>30</v>
      </c>
      <c r="K68">
        <f t="shared" ref="K68:K73" si="32">I68/D68</f>
        <v>63</v>
      </c>
    </row>
    <row r="69" spans="1:19" x14ac:dyDescent="0.3">
      <c r="A69" s="35" t="s">
        <v>491</v>
      </c>
      <c r="D69" s="34">
        <v>42</v>
      </c>
      <c r="E69" s="66">
        <v>0</v>
      </c>
      <c r="F69" s="33">
        <f t="shared" si="29"/>
        <v>0</v>
      </c>
      <c r="G69" s="34">
        <v>43.81</v>
      </c>
      <c r="H69">
        <f t="shared" si="30"/>
        <v>1840.02</v>
      </c>
      <c r="I69" s="33">
        <f t="shared" si="31"/>
        <v>1840.02</v>
      </c>
      <c r="J69">
        <v>31.2</v>
      </c>
      <c r="K69">
        <f t="shared" si="32"/>
        <v>43.81</v>
      </c>
      <c r="N69" s="7"/>
    </row>
    <row r="72" spans="1:19" x14ac:dyDescent="0.3">
      <c r="A72" s="35" t="s">
        <v>930</v>
      </c>
      <c r="D72" s="34">
        <v>20</v>
      </c>
      <c r="E72" s="34">
        <v>184</v>
      </c>
      <c r="F72" s="33">
        <f>D72*E72</f>
        <v>3680</v>
      </c>
      <c r="G72" s="34">
        <v>628</v>
      </c>
      <c r="H72">
        <f>D72*G72</f>
        <v>12560</v>
      </c>
      <c r="I72" s="33">
        <f>H72-F72</f>
        <v>8880</v>
      </c>
      <c r="J72">
        <v>50</v>
      </c>
      <c r="K72">
        <f>I72/D72</f>
        <v>444</v>
      </c>
      <c r="N72" s="7"/>
    </row>
    <row r="73" spans="1:19" x14ac:dyDescent="0.3">
      <c r="A73" s="35" t="s">
        <v>143</v>
      </c>
      <c r="D73" s="34">
        <v>4</v>
      </c>
      <c r="E73">
        <v>5000</v>
      </c>
      <c r="F73" s="33">
        <f t="shared" si="29"/>
        <v>20000</v>
      </c>
      <c r="G73" s="34">
        <v>13226</v>
      </c>
      <c r="H73">
        <f t="shared" ref="H73" si="33">D73*G73</f>
        <v>52904</v>
      </c>
      <c r="I73" s="33">
        <f t="shared" si="31"/>
        <v>32904</v>
      </c>
      <c r="K73">
        <f t="shared" si="32"/>
        <v>8226</v>
      </c>
    </row>
    <row r="74" spans="1:19" x14ac:dyDescent="0.3">
      <c r="A74" s="32" t="s">
        <v>365</v>
      </c>
      <c r="D74" s="34">
        <v>53</v>
      </c>
      <c r="E74" s="36">
        <v>162</v>
      </c>
      <c r="F74" s="33">
        <f t="shared" ref="F74:F78" si="34">D74*E74</f>
        <v>8586</v>
      </c>
      <c r="G74" s="34">
        <v>270</v>
      </c>
      <c r="H74">
        <f t="shared" ref="H74:H78" si="35">D74*G74</f>
        <v>14310</v>
      </c>
      <c r="I74" s="33">
        <f>H74-F74</f>
        <v>5724</v>
      </c>
      <c r="J74">
        <v>1290</v>
      </c>
      <c r="K74">
        <f t="shared" ref="K74:K78" si="36">I74/D74</f>
        <v>108</v>
      </c>
      <c r="L74" s="51" t="s">
        <v>936</v>
      </c>
      <c r="M74" s="112">
        <v>45300</v>
      </c>
    </row>
    <row r="75" spans="1:19" x14ac:dyDescent="0.3">
      <c r="N75" s="169"/>
    </row>
    <row r="76" spans="1:19" x14ac:dyDescent="0.3">
      <c r="A76" s="167" t="s">
        <v>423</v>
      </c>
      <c r="B76" s="51"/>
      <c r="C76" s="51"/>
      <c r="D76" s="168">
        <v>100</v>
      </c>
      <c r="E76" s="168">
        <v>99</v>
      </c>
      <c r="F76" s="168">
        <f t="shared" si="34"/>
        <v>9900</v>
      </c>
      <c r="G76" s="168">
        <v>132</v>
      </c>
      <c r="H76" s="51">
        <f t="shared" si="35"/>
        <v>13200</v>
      </c>
      <c r="I76" s="168">
        <f>H76-F76</f>
        <v>3300</v>
      </c>
      <c r="J76" s="51"/>
      <c r="K76" s="51">
        <f t="shared" si="36"/>
        <v>33</v>
      </c>
      <c r="N76" s="7"/>
    </row>
    <row r="77" spans="1:19" x14ac:dyDescent="0.3">
      <c r="N77" s="7"/>
    </row>
    <row r="78" spans="1:19" x14ac:dyDescent="0.3">
      <c r="A78" s="167" t="s">
        <v>421</v>
      </c>
      <c r="B78" s="51"/>
      <c r="C78" s="51"/>
      <c r="D78" s="168">
        <v>70</v>
      </c>
      <c r="E78" s="168">
        <v>735</v>
      </c>
      <c r="F78" s="168">
        <f t="shared" si="34"/>
        <v>51450</v>
      </c>
      <c r="G78" s="168">
        <v>850</v>
      </c>
      <c r="H78" s="51">
        <f t="shared" si="35"/>
        <v>59500</v>
      </c>
      <c r="I78" s="168">
        <f>H78-F78</f>
        <v>8050</v>
      </c>
      <c r="J78" s="51">
        <v>1400</v>
      </c>
      <c r="K78" s="51">
        <f t="shared" si="36"/>
        <v>115</v>
      </c>
    </row>
    <row r="79" spans="1:19" x14ac:dyDescent="0.3">
      <c r="N79" s="7"/>
    </row>
    <row r="80" spans="1:19" x14ac:dyDescent="0.3">
      <c r="N80" s="7"/>
    </row>
    <row r="81" spans="1:14" x14ac:dyDescent="0.3">
      <c r="N81" s="7"/>
    </row>
    <row r="82" spans="1:14" x14ac:dyDescent="0.3">
      <c r="N82" s="7"/>
    </row>
    <row r="83" spans="1:14" x14ac:dyDescent="0.3">
      <c r="N83" s="7"/>
    </row>
    <row r="84" spans="1:14" x14ac:dyDescent="0.3">
      <c r="A84" s="4"/>
      <c r="F84" s="66">
        <f>SUM(F14:F81)</f>
        <v>1609726.3</v>
      </c>
    </row>
    <row r="85" spans="1:14" x14ac:dyDescent="0.3">
      <c r="A85" s="152"/>
      <c r="F85">
        <v>-1530</v>
      </c>
    </row>
    <row r="86" spans="1:14" x14ac:dyDescent="0.3">
      <c r="A86" s="4"/>
      <c r="E86">
        <v>1787915</v>
      </c>
      <c r="F86">
        <f>SUM(F84:F85)</f>
        <v>1608196.3</v>
      </c>
      <c r="G86">
        <f>E86-F86</f>
        <v>179718.69999999995</v>
      </c>
      <c r="J86">
        <f>SUM(J14:J81)</f>
        <v>129109</v>
      </c>
    </row>
    <row r="87" spans="1:14" x14ac:dyDescent="0.3">
      <c r="A87" s="37" t="s">
        <v>370</v>
      </c>
      <c r="B87" s="51"/>
      <c r="C87" s="51"/>
      <c r="D87" s="149">
        <v>10</v>
      </c>
      <c r="E87" s="150">
        <v>153</v>
      </c>
      <c r="F87" s="150">
        <f>D87*E87</f>
        <v>1530</v>
      </c>
      <c r="G87" s="149">
        <v>158</v>
      </c>
      <c r="H87" s="51">
        <f>D87*G87</f>
        <v>1580</v>
      </c>
      <c r="I87" s="150">
        <f>H87-F87</f>
        <v>50</v>
      </c>
      <c r="J87" s="51">
        <v>25</v>
      </c>
      <c r="K87" s="51">
        <f>I87/D87</f>
        <v>5</v>
      </c>
    </row>
    <row r="88" spans="1:14" x14ac:dyDescent="0.3">
      <c r="A88" s="37" t="s">
        <v>142</v>
      </c>
      <c r="D88" s="34">
        <v>100</v>
      </c>
      <c r="E88" s="33">
        <v>100</v>
      </c>
      <c r="F88" s="33">
        <f>D88*E88</f>
        <v>10000</v>
      </c>
      <c r="G88" s="34">
        <v>1.55</v>
      </c>
      <c r="H88">
        <f>D88*G88</f>
        <v>155</v>
      </c>
      <c r="I88" s="33">
        <f>H88-F88</f>
        <v>-9845</v>
      </c>
    </row>
    <row r="89" spans="1:14" x14ac:dyDescent="0.3">
      <c r="A89" s="35" t="s">
        <v>375</v>
      </c>
      <c r="D89" s="66">
        <v>60</v>
      </c>
      <c r="E89" s="66">
        <v>209</v>
      </c>
      <c r="F89" s="66">
        <f>D89*E89</f>
        <v>12540</v>
      </c>
      <c r="G89" s="66">
        <v>208</v>
      </c>
      <c r="H89">
        <f>D89*G89</f>
        <v>12480</v>
      </c>
      <c r="I89" s="66">
        <f>H89-F89</f>
        <v>-60</v>
      </c>
      <c r="K89">
        <f>I89/D89</f>
        <v>-1</v>
      </c>
    </row>
    <row r="90" spans="1:14" x14ac:dyDescent="0.3">
      <c r="J90" s="7"/>
    </row>
    <row r="91" spans="1:14" x14ac:dyDescent="0.3">
      <c r="J91" s="7"/>
    </row>
    <row r="96" spans="1:14" x14ac:dyDescent="0.3">
      <c r="A96" s="32"/>
    </row>
    <row r="97" spans="1:9" x14ac:dyDescent="0.3">
      <c r="A97" s="32"/>
    </row>
    <row r="101" spans="1:9" x14ac:dyDescent="0.3">
      <c r="A101" s="4"/>
    </row>
    <row r="102" spans="1:9" x14ac:dyDescent="0.3">
      <c r="A102" s="4"/>
    </row>
    <row r="103" spans="1:9" x14ac:dyDescent="0.3">
      <c r="A103" s="4"/>
    </row>
    <row r="104" spans="1:9" x14ac:dyDescent="0.3">
      <c r="A104" s="4"/>
    </row>
    <row r="105" spans="1:9" x14ac:dyDescent="0.3">
      <c r="A105" s="4"/>
    </row>
    <row r="106" spans="1:9" x14ac:dyDescent="0.3">
      <c r="A106" s="4"/>
    </row>
    <row r="107" spans="1:9" x14ac:dyDescent="0.3">
      <c r="A107" s="4"/>
    </row>
    <row r="108" spans="1:9" x14ac:dyDescent="0.3">
      <c r="A108" s="4"/>
    </row>
    <row r="109" spans="1:9" x14ac:dyDescent="0.3">
      <c r="A109" s="152"/>
    </row>
    <row r="110" spans="1:9" x14ac:dyDescent="0.3">
      <c r="A110" s="37"/>
      <c r="B110" s="153"/>
      <c r="C110" s="154"/>
      <c r="D110" s="34"/>
      <c r="E110" s="34"/>
      <c r="F110" s="34"/>
      <c r="G110" s="34"/>
      <c r="H110" s="34"/>
      <c r="I110" s="34"/>
    </row>
    <row r="120" spans="1:16" x14ac:dyDescent="0.3">
      <c r="F120" s="155"/>
    </row>
    <row r="121" spans="1:16" x14ac:dyDescent="0.3">
      <c r="A121" s="32"/>
      <c r="N121" s="121"/>
      <c r="O121" s="112"/>
    </row>
    <row r="122" spans="1:16" x14ac:dyDescent="0.3">
      <c r="A122" s="32"/>
    </row>
    <row r="124" spans="1:16" x14ac:dyDescent="0.3">
      <c r="A124" s="6"/>
    </row>
    <row r="125" spans="1:16" x14ac:dyDescent="0.3">
      <c r="A125" s="32"/>
    </row>
    <row r="127" spans="1:16" x14ac:dyDescent="0.3">
      <c r="P127" s="7"/>
    </row>
    <row r="128" spans="1:16" x14ac:dyDescent="0.3">
      <c r="B128" s="13"/>
    </row>
    <row r="131" spans="1:2" x14ac:dyDescent="0.3">
      <c r="B131" s="13"/>
    </row>
    <row r="134" spans="1:2" x14ac:dyDescent="0.3">
      <c r="A134" s="156"/>
    </row>
    <row r="136" spans="1:2" x14ac:dyDescent="0.3">
      <c r="A136" s="32"/>
    </row>
    <row r="142" spans="1:2" x14ac:dyDescent="0.3">
      <c r="A142" s="4"/>
    </row>
    <row r="146" spans="2:9" x14ac:dyDescent="0.3">
      <c r="C146" s="157"/>
      <c r="D146" s="157"/>
      <c r="E146" s="157"/>
      <c r="F146" s="157"/>
      <c r="G146" s="157"/>
      <c r="H146" s="157"/>
    </row>
    <row r="147" spans="2:9" x14ac:dyDescent="0.3">
      <c r="C147" s="108"/>
      <c r="D147" s="108"/>
      <c r="E147" s="108"/>
      <c r="F147" s="108"/>
      <c r="G147" s="108"/>
      <c r="H147" s="108"/>
      <c r="I147" s="158"/>
    </row>
    <row r="148" spans="2:9" x14ac:dyDescent="0.3">
      <c r="C148" s="108"/>
      <c r="D148" s="108"/>
      <c r="E148" s="108"/>
      <c r="F148" s="108"/>
      <c r="G148" s="108"/>
      <c r="H148" s="108"/>
      <c r="I148" s="158"/>
    </row>
    <row r="149" spans="2:9" x14ac:dyDescent="0.3">
      <c r="C149" s="108"/>
      <c r="D149" s="108"/>
      <c r="E149" s="108"/>
      <c r="F149" s="108"/>
      <c r="G149" s="108"/>
      <c r="H149" s="108"/>
      <c r="I149" s="158"/>
    </row>
    <row r="150" spans="2:9" x14ac:dyDescent="0.3">
      <c r="C150" s="108"/>
      <c r="D150" s="108"/>
      <c r="E150" s="108"/>
      <c r="F150" s="108"/>
      <c r="G150" s="108"/>
      <c r="H150" s="158"/>
      <c r="I150" s="159"/>
    </row>
    <row r="151" spans="2:9" x14ac:dyDescent="0.3">
      <c r="C151" s="108"/>
      <c r="D151" s="108"/>
      <c r="E151" s="108"/>
      <c r="F151" s="108"/>
      <c r="G151" s="108"/>
      <c r="H151" s="158"/>
      <c r="I151" s="159"/>
    </row>
    <row r="152" spans="2:9" x14ac:dyDescent="0.3">
      <c r="C152" s="108"/>
      <c r="D152" s="108"/>
      <c r="E152" s="108"/>
      <c r="F152" s="108"/>
      <c r="G152" s="108"/>
      <c r="H152" s="158"/>
      <c r="I152" s="159"/>
    </row>
    <row r="153" spans="2:9" x14ac:dyDescent="0.3">
      <c r="C153" s="108"/>
      <c r="D153" s="108"/>
      <c r="E153" s="108"/>
      <c r="F153" s="108"/>
      <c r="G153" s="108"/>
      <c r="H153" s="158"/>
      <c r="I153" s="159"/>
    </row>
    <row r="154" spans="2:9" x14ac:dyDescent="0.3">
      <c r="C154" s="108"/>
      <c r="D154" s="108"/>
      <c r="E154" s="108"/>
      <c r="F154" s="108"/>
      <c r="G154" s="108"/>
      <c r="H154" s="158"/>
      <c r="I154" s="159"/>
    </row>
    <row r="155" spans="2:9" x14ac:dyDescent="0.3">
      <c r="C155" s="108"/>
      <c r="D155" s="108"/>
      <c r="E155" s="108"/>
      <c r="F155" s="108"/>
      <c r="G155" s="108"/>
      <c r="H155" s="158"/>
      <c r="I155" s="159"/>
    </row>
    <row r="156" spans="2:9" x14ac:dyDescent="0.3">
      <c r="C156" s="108"/>
      <c r="D156" s="108"/>
      <c r="E156" s="108"/>
      <c r="F156" s="108"/>
      <c r="G156" s="108"/>
      <c r="H156" s="158"/>
      <c r="I156" s="159"/>
    </row>
    <row r="157" spans="2:9" x14ac:dyDescent="0.3">
      <c r="C157" s="108"/>
      <c r="D157" s="108"/>
      <c r="E157" s="108"/>
      <c r="F157" s="108"/>
      <c r="G157" s="108"/>
      <c r="H157" s="158"/>
      <c r="I157" s="159"/>
    </row>
    <row r="158" spans="2:9" x14ac:dyDescent="0.3">
      <c r="C158" s="108"/>
      <c r="D158" s="108"/>
      <c r="E158" s="108"/>
      <c r="F158" s="108"/>
      <c r="G158" s="108"/>
      <c r="H158" s="160"/>
      <c r="I158" s="159"/>
    </row>
    <row r="159" spans="2:9" x14ac:dyDescent="0.3">
      <c r="B159" s="108"/>
      <c r="C159" s="108"/>
      <c r="D159" s="108"/>
      <c r="E159" s="108"/>
      <c r="F159" s="108"/>
      <c r="G159" s="108"/>
      <c r="I159" s="159"/>
    </row>
    <row r="160" spans="2:9" x14ac:dyDescent="0.3">
      <c r="B160" s="108"/>
      <c r="C160" s="108"/>
      <c r="D160" s="108"/>
      <c r="E160" s="108"/>
      <c r="F160" s="108"/>
      <c r="G160" s="108"/>
      <c r="H160" s="160"/>
      <c r="I160" s="159"/>
    </row>
    <row r="161" spans="1:13" x14ac:dyDescent="0.3">
      <c r="B161" s="108"/>
      <c r="C161" s="108"/>
      <c r="D161" s="108"/>
      <c r="E161" s="108"/>
      <c r="F161" s="108"/>
      <c r="G161" s="108"/>
      <c r="H161" s="108"/>
      <c r="I161" s="159"/>
    </row>
    <row r="162" spans="1:13" x14ac:dyDescent="0.3">
      <c r="A162" s="108"/>
      <c r="B162" s="108"/>
      <c r="C162" s="108"/>
      <c r="D162" s="108"/>
      <c r="E162" s="108"/>
      <c r="F162" s="108"/>
      <c r="G162" s="108"/>
      <c r="H162" s="108"/>
      <c r="I162" s="159"/>
    </row>
    <row r="163" spans="1:13" x14ac:dyDescent="0.3">
      <c r="A163" s="108"/>
      <c r="B163" s="108"/>
      <c r="C163" s="108"/>
      <c r="D163" s="108"/>
      <c r="E163" s="108"/>
      <c r="F163" s="108"/>
      <c r="G163" s="158"/>
      <c r="H163" s="108"/>
      <c r="I163" s="159"/>
    </row>
    <row r="164" spans="1:13" x14ac:dyDescent="0.3">
      <c r="A164" s="108"/>
      <c r="B164" s="108"/>
      <c r="C164" s="108"/>
      <c r="D164" s="108"/>
      <c r="E164" s="108"/>
      <c r="F164" s="108"/>
      <c r="G164" s="158"/>
      <c r="H164" s="108"/>
      <c r="I164" s="159"/>
    </row>
    <row r="165" spans="1:13" x14ac:dyDescent="0.3">
      <c r="A165" s="108"/>
      <c r="B165" s="108"/>
      <c r="C165" s="108"/>
      <c r="D165" s="108"/>
      <c r="E165" s="108"/>
      <c r="F165" s="108"/>
      <c r="G165" s="159"/>
      <c r="H165" s="108"/>
      <c r="I165" s="159"/>
    </row>
    <row r="166" spans="1:13" x14ac:dyDescent="0.3">
      <c r="A166" s="108"/>
      <c r="B166" s="108"/>
      <c r="C166" s="108"/>
      <c r="D166" s="108"/>
      <c r="E166" s="108"/>
      <c r="F166" s="108"/>
      <c r="G166" s="108"/>
      <c r="H166" s="108"/>
      <c r="I166" s="159"/>
    </row>
    <row r="167" spans="1:13" x14ac:dyDescent="0.3">
      <c r="A167" s="108"/>
      <c r="B167" s="108"/>
      <c r="C167" s="108"/>
      <c r="D167" s="108"/>
      <c r="E167" s="108"/>
      <c r="F167" s="108"/>
      <c r="G167" s="108"/>
      <c r="H167" s="108"/>
      <c r="I167" s="159"/>
    </row>
    <row r="168" spans="1:13" x14ac:dyDescent="0.3">
      <c r="A168" s="108"/>
      <c r="B168" s="108"/>
      <c r="C168" s="108"/>
      <c r="D168" s="108"/>
      <c r="E168" s="108"/>
      <c r="F168" s="108"/>
      <c r="G168" s="158"/>
      <c r="H168" s="161"/>
      <c r="I168" s="159"/>
    </row>
    <row r="169" spans="1:13" x14ac:dyDescent="0.3">
      <c r="A169" s="108"/>
      <c r="B169" s="108"/>
      <c r="C169" s="108"/>
      <c r="D169" s="108"/>
      <c r="E169" s="108"/>
      <c r="F169" s="108"/>
      <c r="G169" s="158"/>
      <c r="H169" s="161"/>
      <c r="I169" s="159"/>
    </row>
    <row r="170" spans="1:13" x14ac:dyDescent="0.3">
      <c r="A170" s="108"/>
      <c r="B170" s="108"/>
      <c r="C170" s="108"/>
      <c r="D170" s="108"/>
      <c r="E170" s="108"/>
      <c r="F170" s="108"/>
      <c r="G170" s="158"/>
      <c r="H170" s="161"/>
      <c r="I170" s="159"/>
    </row>
    <row r="171" spans="1:13" x14ac:dyDescent="0.3">
      <c r="A171" s="108"/>
      <c r="B171" s="108"/>
      <c r="C171" s="108"/>
      <c r="D171" s="108"/>
      <c r="E171" s="108"/>
      <c r="F171" s="108"/>
      <c r="M171" s="7"/>
    </row>
    <row r="172" spans="1:13" x14ac:dyDescent="0.3">
      <c r="A172" s="108"/>
      <c r="B172" s="108"/>
      <c r="C172" s="157"/>
      <c r="D172" s="108"/>
      <c r="E172" s="108"/>
      <c r="F172" s="108"/>
      <c r="M172" s="7"/>
    </row>
    <row r="173" spans="1:13" x14ac:dyDescent="0.3">
      <c r="A173" s="108"/>
      <c r="B173" s="108"/>
      <c r="C173" s="108"/>
      <c r="D173" s="161"/>
      <c r="E173" s="161"/>
      <c r="F173" s="161"/>
    </row>
    <row r="174" spans="1:13" x14ac:dyDescent="0.3">
      <c r="A174" s="108"/>
      <c r="B174" s="108"/>
      <c r="C174" s="108"/>
      <c r="D174" s="161"/>
      <c r="E174" s="161"/>
      <c r="F174" s="161"/>
      <c r="G174" s="160"/>
    </row>
    <row r="175" spans="1:13" x14ac:dyDescent="0.3">
      <c r="A175" s="108"/>
      <c r="B175" s="108"/>
      <c r="C175" s="108"/>
      <c r="D175" s="161"/>
      <c r="E175" s="161"/>
      <c r="F175" s="161"/>
      <c r="G175" s="160"/>
    </row>
    <row r="176" spans="1:13" x14ac:dyDescent="0.3">
      <c r="A176" s="108"/>
      <c r="B176" s="108"/>
      <c r="C176" s="108"/>
      <c r="D176" s="161"/>
      <c r="E176" s="161"/>
      <c r="F176" s="161"/>
      <c r="G176" s="160"/>
    </row>
    <row r="177" spans="1:9" x14ac:dyDescent="0.3">
      <c r="A177" s="108"/>
      <c r="B177" s="108"/>
      <c r="C177" s="108"/>
      <c r="D177" s="161"/>
      <c r="E177" s="161"/>
      <c r="F177" s="161"/>
      <c r="G177" s="158"/>
      <c r="H177" s="161"/>
      <c r="I177" s="162"/>
    </row>
    <row r="178" spans="1:9" x14ac:dyDescent="0.3">
      <c r="A178" s="108"/>
      <c r="B178" s="108"/>
      <c r="C178" s="108"/>
      <c r="D178" s="161"/>
      <c r="E178" s="161"/>
      <c r="F178" s="161"/>
      <c r="G178" s="159"/>
      <c r="H178" s="108"/>
      <c r="I178" s="163"/>
    </row>
    <row r="179" spans="1:9" x14ac:dyDescent="0.3">
      <c r="A179" s="108"/>
      <c r="B179" s="108"/>
      <c r="C179" s="108"/>
      <c r="D179" s="161"/>
      <c r="E179" s="161"/>
      <c r="F179" s="161"/>
      <c r="G179" s="158"/>
      <c r="H179" s="161"/>
      <c r="I179" s="163"/>
    </row>
    <row r="180" spans="1:9" x14ac:dyDescent="0.3">
      <c r="A180" s="108"/>
      <c r="B180" s="108"/>
      <c r="C180" s="108"/>
      <c r="D180" s="161"/>
      <c r="E180" s="161"/>
      <c r="F180" s="161"/>
      <c r="G180" s="159"/>
      <c r="H180" s="108"/>
      <c r="I180" s="162"/>
    </row>
    <row r="181" spans="1:9" x14ac:dyDescent="0.3">
      <c r="A181" s="108"/>
      <c r="B181" s="108"/>
      <c r="C181" s="108"/>
      <c r="D181" s="161"/>
      <c r="E181" s="161"/>
      <c r="F181" s="161"/>
      <c r="G181" s="158"/>
      <c r="H181" s="161"/>
      <c r="I181" s="162"/>
    </row>
    <row r="182" spans="1:9" x14ac:dyDescent="0.3">
      <c r="F182" s="164"/>
      <c r="H182" s="161"/>
    </row>
    <row r="183" spans="1:9" x14ac:dyDescent="0.3">
      <c r="H183" s="161"/>
    </row>
  </sheetData>
  <hyperlinks>
    <hyperlink ref="A5" r:id="rId1" display="Mindtree@123" xr:uid="{00000000-0004-0000-0900-000000000000}"/>
    <hyperlink ref="C10" r:id="rId2" display="ndatta@5" xr:uid="{00000000-0004-0000-0900-000001000000}"/>
    <hyperlink ref="C11" r:id="rId3" display="5@ndatta" xr:uid="{00000000-0004-0000-0900-000002000000}"/>
    <hyperlink ref="A1" r:id="rId4" xr:uid="{49EE729B-FE4F-41E0-8323-4522B7D67AB4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511"/>
  <sheetViews>
    <sheetView topLeftCell="A487" workbookViewId="0">
      <selection activeCell="A509" sqref="A509"/>
    </sheetView>
  </sheetViews>
  <sheetFormatPr defaultRowHeight="14.4" x14ac:dyDescent="0.3"/>
  <cols>
    <col min="1" max="2" width="9.88671875" bestFit="1" customWidth="1"/>
    <col min="3" max="3" width="57" bestFit="1" customWidth="1"/>
    <col min="8" max="8" width="10.33203125" customWidth="1"/>
    <col min="9" max="9" width="22.44140625" bestFit="1" customWidth="1"/>
    <col min="10" max="10" width="37.77734375" customWidth="1"/>
    <col min="14" max="14" width="9.21875" bestFit="1" customWidth="1"/>
  </cols>
  <sheetData>
    <row r="1" spans="1:14" x14ac:dyDescent="0.3">
      <c r="A1" s="15"/>
      <c r="B1" s="15"/>
      <c r="C1" t="s">
        <v>377</v>
      </c>
      <c r="I1" t="s">
        <v>585</v>
      </c>
      <c r="J1" s="121" t="s">
        <v>586</v>
      </c>
      <c r="N1" s="15"/>
    </row>
    <row r="2" spans="1:14" x14ac:dyDescent="0.3">
      <c r="A2" s="15">
        <v>42815</v>
      </c>
      <c r="B2" s="15">
        <v>42815</v>
      </c>
      <c r="C2" t="s">
        <v>266</v>
      </c>
      <c r="E2" t="s">
        <v>267</v>
      </c>
      <c r="F2">
        <v>375</v>
      </c>
      <c r="G2" t="s">
        <v>618</v>
      </c>
      <c r="I2" t="s">
        <v>587</v>
      </c>
      <c r="J2" s="121" t="s">
        <v>588</v>
      </c>
      <c r="N2" s="15"/>
    </row>
    <row r="3" spans="1:14" x14ac:dyDescent="0.3">
      <c r="A3" s="15">
        <v>42824</v>
      </c>
      <c r="B3" s="15">
        <v>42824</v>
      </c>
      <c r="C3" t="s">
        <v>268</v>
      </c>
      <c r="E3" t="s">
        <v>267</v>
      </c>
      <c r="F3">
        <v>120</v>
      </c>
      <c r="G3" t="s">
        <v>633</v>
      </c>
      <c r="I3" t="s">
        <v>589</v>
      </c>
      <c r="J3" s="121" t="s">
        <v>590</v>
      </c>
      <c r="N3" s="15"/>
    </row>
    <row r="4" spans="1:14" x14ac:dyDescent="0.3">
      <c r="A4" s="15">
        <v>42824</v>
      </c>
      <c r="B4" s="15">
        <v>42824</v>
      </c>
      <c r="C4" t="s">
        <v>269</v>
      </c>
      <c r="E4" t="s">
        <v>267</v>
      </c>
      <c r="F4">
        <v>76.8</v>
      </c>
      <c r="G4" t="s">
        <v>668</v>
      </c>
      <c r="H4">
        <v>6.4</v>
      </c>
      <c r="I4" t="s">
        <v>591</v>
      </c>
      <c r="J4" t="s">
        <v>362</v>
      </c>
      <c r="N4" s="15"/>
    </row>
    <row r="5" spans="1:14" x14ac:dyDescent="0.3">
      <c r="A5" s="15">
        <v>42825</v>
      </c>
      <c r="B5" s="15">
        <v>42825</v>
      </c>
      <c r="C5" t="s">
        <v>266</v>
      </c>
      <c r="E5" t="s">
        <v>267</v>
      </c>
      <c r="F5">
        <v>23</v>
      </c>
      <c r="G5" t="s">
        <v>617</v>
      </c>
      <c r="I5" t="s">
        <v>591</v>
      </c>
      <c r="J5" t="s">
        <v>592</v>
      </c>
      <c r="N5" s="15"/>
    </row>
    <row r="6" spans="1:14" x14ac:dyDescent="0.3">
      <c r="A6" s="15">
        <v>42888</v>
      </c>
      <c r="B6" s="15">
        <v>42888</v>
      </c>
      <c r="C6" t="s">
        <v>270</v>
      </c>
      <c r="E6" t="s">
        <v>267</v>
      </c>
      <c r="F6">
        <v>60</v>
      </c>
      <c r="G6" t="s">
        <v>648</v>
      </c>
      <c r="I6" t="s">
        <v>591</v>
      </c>
      <c r="J6" t="s">
        <v>593</v>
      </c>
      <c r="N6" s="15"/>
    </row>
    <row r="7" spans="1:14" x14ac:dyDescent="0.3">
      <c r="A7" s="15">
        <v>42906</v>
      </c>
      <c r="B7" s="15">
        <v>42906</v>
      </c>
      <c r="C7" t="s">
        <v>271</v>
      </c>
      <c r="E7" t="s">
        <v>267</v>
      </c>
      <c r="F7">
        <v>45</v>
      </c>
      <c r="I7" t="s">
        <v>591</v>
      </c>
      <c r="J7" t="s">
        <v>594</v>
      </c>
      <c r="N7" s="15"/>
    </row>
    <row r="8" spans="1:14" x14ac:dyDescent="0.3">
      <c r="A8" s="15">
        <v>42917</v>
      </c>
      <c r="B8" s="15">
        <v>42917</v>
      </c>
      <c r="C8" t="s">
        <v>272</v>
      </c>
      <c r="E8" t="s">
        <v>267</v>
      </c>
      <c r="F8">
        <v>25</v>
      </c>
      <c r="G8" t="s">
        <v>662</v>
      </c>
      <c r="I8" t="s">
        <v>591</v>
      </c>
      <c r="J8" t="s">
        <v>595</v>
      </c>
      <c r="N8" s="15"/>
    </row>
    <row r="9" spans="1:14" x14ac:dyDescent="0.3">
      <c r="A9" s="15">
        <v>42942</v>
      </c>
      <c r="B9" s="15">
        <v>42942</v>
      </c>
      <c r="C9" t="s">
        <v>273</v>
      </c>
      <c r="E9" t="s">
        <v>267</v>
      </c>
      <c r="F9">
        <v>30</v>
      </c>
      <c r="I9" t="s">
        <v>697</v>
      </c>
      <c r="N9" s="15"/>
    </row>
    <row r="10" spans="1:14" x14ac:dyDescent="0.3">
      <c r="A10" s="15">
        <v>42947</v>
      </c>
      <c r="B10" s="15">
        <v>42947</v>
      </c>
      <c r="C10" t="s">
        <v>274</v>
      </c>
      <c r="E10" t="s">
        <v>267</v>
      </c>
      <c r="F10">
        <v>2.5</v>
      </c>
      <c r="J10" s="4"/>
      <c r="N10" s="15"/>
    </row>
    <row r="11" spans="1:14" x14ac:dyDescent="0.3">
      <c r="A11" s="15">
        <v>42947</v>
      </c>
      <c r="B11" s="15">
        <v>42947</v>
      </c>
      <c r="C11" t="s">
        <v>275</v>
      </c>
      <c r="E11" t="s">
        <v>267</v>
      </c>
      <c r="F11">
        <v>83.25</v>
      </c>
      <c r="N11" s="15"/>
    </row>
    <row r="12" spans="1:14" x14ac:dyDescent="0.3">
      <c r="A12" s="15">
        <v>42958</v>
      </c>
      <c r="B12" s="15">
        <v>42958</v>
      </c>
      <c r="C12" t="s">
        <v>270</v>
      </c>
      <c r="E12" t="s">
        <v>267</v>
      </c>
      <c r="F12">
        <v>20</v>
      </c>
      <c r="G12" t="s">
        <v>649</v>
      </c>
      <c r="N12" s="15"/>
    </row>
    <row r="13" spans="1:14" x14ac:dyDescent="0.3">
      <c r="A13" s="15">
        <v>42991</v>
      </c>
      <c r="B13" s="15">
        <v>42991</v>
      </c>
      <c r="C13" t="s">
        <v>277</v>
      </c>
      <c r="E13" t="s">
        <v>267</v>
      </c>
      <c r="F13">
        <v>45</v>
      </c>
      <c r="G13" t="s">
        <v>686</v>
      </c>
      <c r="N13" s="15"/>
    </row>
    <row r="14" spans="1:14" x14ac:dyDescent="0.3">
      <c r="A14" s="15">
        <v>42997</v>
      </c>
      <c r="B14" s="15">
        <v>42997</v>
      </c>
      <c r="C14" t="s">
        <v>269</v>
      </c>
      <c r="E14" t="s">
        <v>267</v>
      </c>
      <c r="F14">
        <v>24.2</v>
      </c>
      <c r="G14" t="s">
        <v>669</v>
      </c>
      <c r="H14">
        <v>1.1000000000000001</v>
      </c>
      <c r="N14" s="15"/>
    </row>
    <row r="15" spans="1:14" x14ac:dyDescent="0.3">
      <c r="A15" s="15">
        <v>43000</v>
      </c>
      <c r="B15" s="15">
        <v>43000</v>
      </c>
      <c r="C15" t="s">
        <v>268</v>
      </c>
      <c r="E15" t="s">
        <v>267</v>
      </c>
      <c r="F15">
        <v>10</v>
      </c>
      <c r="G15" t="s">
        <v>632</v>
      </c>
      <c r="N15" s="15"/>
    </row>
    <row r="16" spans="1:14" x14ac:dyDescent="0.3">
      <c r="A16" s="15">
        <v>43011</v>
      </c>
      <c r="B16" s="15">
        <v>43011</v>
      </c>
      <c r="C16" t="s">
        <v>276</v>
      </c>
      <c r="E16" t="s">
        <v>267</v>
      </c>
      <c r="F16">
        <v>54</v>
      </c>
      <c r="G16" t="s">
        <v>639</v>
      </c>
      <c r="N16" s="15"/>
    </row>
    <row r="17" spans="1:14" x14ac:dyDescent="0.3">
      <c r="A17" s="15">
        <v>43048</v>
      </c>
      <c r="B17" s="15">
        <v>43048</v>
      </c>
      <c r="C17" t="s">
        <v>270</v>
      </c>
      <c r="E17" t="s">
        <v>267</v>
      </c>
      <c r="F17">
        <v>20</v>
      </c>
      <c r="G17" t="s">
        <v>649</v>
      </c>
      <c r="I17">
        <v>109881</v>
      </c>
      <c r="J17">
        <v>45939</v>
      </c>
      <c r="N17" s="15"/>
    </row>
    <row r="18" spans="1:14" x14ac:dyDescent="0.3">
      <c r="A18" s="15">
        <v>42404</v>
      </c>
      <c r="C18" t="s">
        <v>270</v>
      </c>
      <c r="F18">
        <v>60</v>
      </c>
      <c r="G18" t="s">
        <v>648</v>
      </c>
      <c r="I18">
        <f>1250*12</f>
        <v>15000</v>
      </c>
      <c r="J18">
        <f>SUM(I17,J17)</f>
        <v>155820</v>
      </c>
      <c r="N18" s="15"/>
    </row>
    <row r="19" spans="1:14" x14ac:dyDescent="0.3">
      <c r="A19" s="15">
        <v>42503</v>
      </c>
      <c r="C19" t="s">
        <v>270</v>
      </c>
      <c r="F19">
        <v>60</v>
      </c>
      <c r="G19" t="s">
        <v>648</v>
      </c>
      <c r="I19">
        <f>I17-I18</f>
        <v>94881</v>
      </c>
      <c r="N19" s="15"/>
    </row>
    <row r="20" spans="1:14" x14ac:dyDescent="0.3">
      <c r="A20" s="15">
        <v>42601</v>
      </c>
      <c r="C20" t="s">
        <v>270</v>
      </c>
      <c r="F20">
        <v>60</v>
      </c>
      <c r="G20" t="s">
        <v>648</v>
      </c>
      <c r="I20">
        <f>SUM(I17,I19)</f>
        <v>204762</v>
      </c>
      <c r="N20" s="15"/>
    </row>
    <row r="21" spans="1:14" x14ac:dyDescent="0.3">
      <c r="A21" s="15">
        <v>42681</v>
      </c>
      <c r="C21" t="s">
        <v>270</v>
      </c>
      <c r="F21">
        <v>60</v>
      </c>
      <c r="G21" t="s">
        <v>648</v>
      </c>
      <c r="I21">
        <v>45939</v>
      </c>
      <c r="N21" s="15"/>
    </row>
    <row r="22" spans="1:14" x14ac:dyDescent="0.3">
      <c r="A22" s="15">
        <v>42563</v>
      </c>
      <c r="C22" t="s">
        <v>272</v>
      </c>
      <c r="F22">
        <v>50</v>
      </c>
      <c r="G22" t="s">
        <v>660</v>
      </c>
      <c r="I22">
        <f>SUM(I20:I21)</f>
        <v>250701</v>
      </c>
      <c r="N22" s="15"/>
    </row>
    <row r="23" spans="1:14" x14ac:dyDescent="0.3">
      <c r="A23" s="15">
        <v>42580</v>
      </c>
      <c r="C23" t="s">
        <v>275</v>
      </c>
      <c r="F23">
        <v>3</v>
      </c>
      <c r="N23" s="15"/>
    </row>
    <row r="24" spans="1:14" x14ac:dyDescent="0.3">
      <c r="A24" s="15">
        <v>42129</v>
      </c>
      <c r="C24" t="s">
        <v>270</v>
      </c>
      <c r="F24">
        <v>40</v>
      </c>
      <c r="G24" t="s">
        <v>558</v>
      </c>
      <c r="N24" s="15"/>
    </row>
    <row r="25" spans="1:14" x14ac:dyDescent="0.3">
      <c r="A25" s="15">
        <v>42233</v>
      </c>
      <c r="C25" t="s">
        <v>270</v>
      </c>
      <c r="F25">
        <v>50</v>
      </c>
      <c r="G25" t="s">
        <v>650</v>
      </c>
      <c r="N25" s="15"/>
    </row>
    <row r="26" spans="1:14" x14ac:dyDescent="0.3">
      <c r="A26" s="15">
        <v>42310</v>
      </c>
      <c r="C26" t="s">
        <v>270</v>
      </c>
      <c r="F26">
        <v>50</v>
      </c>
      <c r="G26" t="s">
        <v>650</v>
      </c>
      <c r="N26" s="15"/>
    </row>
    <row r="27" spans="1:14" x14ac:dyDescent="0.3">
      <c r="A27" s="15">
        <v>43130</v>
      </c>
      <c r="B27" s="15">
        <v>43130</v>
      </c>
      <c r="C27" t="s">
        <v>276</v>
      </c>
      <c r="E27" t="s">
        <v>267</v>
      </c>
      <c r="F27">
        <v>153</v>
      </c>
      <c r="G27" t="s">
        <v>640</v>
      </c>
      <c r="N27" s="15"/>
    </row>
    <row r="28" spans="1:14" x14ac:dyDescent="0.3">
      <c r="A28" s="15">
        <v>43136</v>
      </c>
      <c r="B28" s="15">
        <v>43136</v>
      </c>
      <c r="C28" t="s">
        <v>270</v>
      </c>
      <c r="E28" t="s">
        <v>267</v>
      </c>
      <c r="F28">
        <v>20</v>
      </c>
      <c r="G28" t="s">
        <v>649</v>
      </c>
      <c r="N28" s="15"/>
    </row>
    <row r="29" spans="1:14" x14ac:dyDescent="0.3">
      <c r="A29" s="15">
        <v>43139</v>
      </c>
      <c r="B29" s="15">
        <v>43139</v>
      </c>
      <c r="C29" t="s">
        <v>273</v>
      </c>
      <c r="E29" t="s">
        <v>267</v>
      </c>
      <c r="F29">
        <v>70</v>
      </c>
      <c r="N29" s="15"/>
    </row>
    <row r="30" spans="1:14" x14ac:dyDescent="0.3">
      <c r="A30" s="15">
        <v>43164</v>
      </c>
      <c r="B30" s="15">
        <v>43164</v>
      </c>
      <c r="C30" t="s">
        <v>268</v>
      </c>
      <c r="E30" t="s">
        <v>267</v>
      </c>
      <c r="F30">
        <v>420</v>
      </c>
      <c r="G30" t="s">
        <v>631</v>
      </c>
      <c r="N30" s="15"/>
    </row>
    <row r="31" spans="1:14" x14ac:dyDescent="0.3">
      <c r="A31" s="15">
        <v>43166</v>
      </c>
      <c r="B31" s="15">
        <v>43166</v>
      </c>
      <c r="C31" t="s">
        <v>269</v>
      </c>
      <c r="E31" t="s">
        <v>267</v>
      </c>
      <c r="F31">
        <v>478.5</v>
      </c>
      <c r="G31" t="s">
        <v>670</v>
      </c>
      <c r="H31">
        <v>14.5</v>
      </c>
      <c r="N31" s="15"/>
    </row>
    <row r="32" spans="1:14" x14ac:dyDescent="0.3">
      <c r="A32" s="15">
        <v>43182</v>
      </c>
      <c r="B32" s="15">
        <v>43182</v>
      </c>
      <c r="C32" t="s">
        <v>266</v>
      </c>
      <c r="E32" t="s">
        <v>267</v>
      </c>
      <c r="F32">
        <v>330</v>
      </c>
      <c r="G32" t="s">
        <v>616</v>
      </c>
      <c r="N32" s="15"/>
    </row>
    <row r="33" spans="1:14" x14ac:dyDescent="0.3">
      <c r="A33" s="15">
        <v>43237</v>
      </c>
      <c r="B33" s="15">
        <v>43237</v>
      </c>
      <c r="C33" t="s">
        <v>270</v>
      </c>
      <c r="E33" t="s">
        <v>267</v>
      </c>
      <c r="F33">
        <v>20</v>
      </c>
      <c r="G33" t="s">
        <v>649</v>
      </c>
      <c r="N33" s="15"/>
    </row>
    <row r="34" spans="1:14" x14ac:dyDescent="0.3">
      <c r="A34" s="15">
        <v>43238</v>
      </c>
      <c r="B34" s="15">
        <v>43238</v>
      </c>
      <c r="C34" t="s">
        <v>277</v>
      </c>
      <c r="E34" t="s">
        <v>267</v>
      </c>
      <c r="F34">
        <v>50</v>
      </c>
      <c r="G34" t="s">
        <v>650</v>
      </c>
      <c r="N34" s="15"/>
    </row>
    <row r="35" spans="1:14" x14ac:dyDescent="0.3">
      <c r="A35" s="15">
        <v>43314</v>
      </c>
      <c r="B35" s="15">
        <v>43314</v>
      </c>
      <c r="C35" t="s">
        <v>273</v>
      </c>
      <c r="E35" t="s">
        <v>267</v>
      </c>
      <c r="F35">
        <v>30</v>
      </c>
      <c r="N35" s="15"/>
    </row>
    <row r="36" spans="1:14" x14ac:dyDescent="0.3">
      <c r="A36" s="15">
        <v>43314</v>
      </c>
      <c r="B36" s="15">
        <v>43314</v>
      </c>
      <c r="C36" t="s">
        <v>275</v>
      </c>
      <c r="E36" t="s">
        <v>267</v>
      </c>
      <c r="F36">
        <v>83.25</v>
      </c>
      <c r="N36" s="15"/>
    </row>
    <row r="37" spans="1:14" x14ac:dyDescent="0.3">
      <c r="A37" s="15">
        <v>43315</v>
      </c>
      <c r="B37" s="15">
        <v>43315</v>
      </c>
      <c r="C37" t="s">
        <v>274</v>
      </c>
      <c r="E37" t="s">
        <v>267</v>
      </c>
      <c r="F37">
        <v>7.5</v>
      </c>
      <c r="N37" s="15"/>
    </row>
    <row r="38" spans="1:14" x14ac:dyDescent="0.3">
      <c r="A38" s="15">
        <v>43326</v>
      </c>
      <c r="B38" s="15">
        <v>43326</v>
      </c>
      <c r="C38" t="s">
        <v>270</v>
      </c>
      <c r="E38" t="s">
        <v>267</v>
      </c>
      <c r="F38">
        <v>20</v>
      </c>
      <c r="G38" t="s">
        <v>649</v>
      </c>
      <c r="N38" s="15"/>
    </row>
    <row r="39" spans="1:14" x14ac:dyDescent="0.3">
      <c r="A39" s="15">
        <v>43333</v>
      </c>
      <c r="B39" s="15">
        <v>43333</v>
      </c>
      <c r="C39" t="s">
        <v>277</v>
      </c>
      <c r="E39" t="s">
        <v>267</v>
      </c>
      <c r="F39">
        <v>45</v>
      </c>
      <c r="G39" t="s">
        <v>685</v>
      </c>
      <c r="N39" s="15"/>
    </row>
    <row r="40" spans="1:14" x14ac:dyDescent="0.3">
      <c r="A40" s="15">
        <v>43346</v>
      </c>
      <c r="B40" s="15">
        <v>43346</v>
      </c>
      <c r="C40" t="s">
        <v>269</v>
      </c>
      <c r="E40" t="s">
        <v>267</v>
      </c>
      <c r="F40">
        <v>82.5</v>
      </c>
      <c r="G40" t="s">
        <v>673</v>
      </c>
      <c r="H40">
        <v>2.5</v>
      </c>
      <c r="N40" s="15"/>
    </row>
    <row r="41" spans="1:14" x14ac:dyDescent="0.3">
      <c r="A41" s="15">
        <v>43347</v>
      </c>
      <c r="B41" s="15">
        <v>43347</v>
      </c>
      <c r="C41" t="s">
        <v>278</v>
      </c>
      <c r="E41" t="s">
        <v>267</v>
      </c>
      <c r="F41">
        <v>20</v>
      </c>
      <c r="G41" t="s">
        <v>642</v>
      </c>
      <c r="H41">
        <v>2</v>
      </c>
      <c r="N41" s="15"/>
    </row>
    <row r="42" spans="1:14" x14ac:dyDescent="0.3">
      <c r="A42" s="15">
        <v>43356</v>
      </c>
      <c r="B42" s="15">
        <v>43356</v>
      </c>
      <c r="C42" t="s">
        <v>272</v>
      </c>
      <c r="E42" t="s">
        <v>267</v>
      </c>
      <c r="F42">
        <v>16.5</v>
      </c>
      <c r="G42" t="s">
        <v>661</v>
      </c>
    </row>
    <row r="43" spans="1:14" x14ac:dyDescent="0.3">
      <c r="A43" s="15">
        <v>43364</v>
      </c>
      <c r="B43" s="15">
        <v>43364</v>
      </c>
      <c r="C43" t="s">
        <v>268</v>
      </c>
      <c r="E43" t="s">
        <v>267</v>
      </c>
      <c r="F43">
        <v>210</v>
      </c>
      <c r="G43" t="s">
        <v>630</v>
      </c>
    </row>
    <row r="44" spans="1:14" x14ac:dyDescent="0.3">
      <c r="A44" s="15">
        <v>43372</v>
      </c>
      <c r="B44" s="15">
        <v>43372</v>
      </c>
      <c r="C44" t="s">
        <v>276</v>
      </c>
      <c r="E44" t="s">
        <v>267</v>
      </c>
      <c r="F44">
        <v>57.6</v>
      </c>
      <c r="G44" t="s">
        <v>638</v>
      </c>
    </row>
    <row r="45" spans="1:14" x14ac:dyDescent="0.3">
      <c r="A45" s="15">
        <v>43378</v>
      </c>
      <c r="B45" s="15">
        <v>43378</v>
      </c>
      <c r="C45" t="s">
        <v>279</v>
      </c>
      <c r="E45" t="s">
        <v>267</v>
      </c>
      <c r="F45">
        <v>15</v>
      </c>
      <c r="G45" t="s">
        <v>675</v>
      </c>
    </row>
    <row r="46" spans="1:14" x14ac:dyDescent="0.3">
      <c r="A46" s="15">
        <v>43378</v>
      </c>
      <c r="B46" s="15">
        <v>43378</v>
      </c>
      <c r="C46" t="s">
        <v>280</v>
      </c>
      <c r="E46" t="s">
        <v>267</v>
      </c>
      <c r="F46">
        <v>14</v>
      </c>
      <c r="G46" t="s">
        <v>635</v>
      </c>
    </row>
    <row r="47" spans="1:14" x14ac:dyDescent="0.3">
      <c r="A47" s="15">
        <v>43381</v>
      </c>
      <c r="B47" s="15">
        <v>43381</v>
      </c>
      <c r="C47" t="s">
        <v>281</v>
      </c>
      <c r="E47" t="s">
        <v>267</v>
      </c>
      <c r="F47">
        <v>15</v>
      </c>
      <c r="G47" t="s">
        <v>675</v>
      </c>
    </row>
    <row r="48" spans="1:14" x14ac:dyDescent="0.3">
      <c r="A48" s="15">
        <v>43413</v>
      </c>
      <c r="B48" s="15">
        <v>43413</v>
      </c>
      <c r="C48" t="s">
        <v>270</v>
      </c>
      <c r="E48" t="s">
        <v>267</v>
      </c>
      <c r="F48">
        <v>20</v>
      </c>
      <c r="G48" t="s">
        <v>649</v>
      </c>
    </row>
    <row r="49" spans="1:8" x14ac:dyDescent="0.3">
      <c r="A49" s="15">
        <v>43462</v>
      </c>
      <c r="B49" s="15">
        <v>43462</v>
      </c>
      <c r="C49" t="s">
        <v>278</v>
      </c>
      <c r="E49" t="s">
        <v>267</v>
      </c>
      <c r="F49">
        <v>135</v>
      </c>
      <c r="G49" t="s">
        <v>667</v>
      </c>
      <c r="H49">
        <v>6.75</v>
      </c>
    </row>
    <row r="50" spans="1:8" x14ac:dyDescent="0.3">
      <c r="A50" s="15">
        <v>43470</v>
      </c>
      <c r="B50" s="15">
        <v>43470</v>
      </c>
      <c r="C50" t="s">
        <v>266</v>
      </c>
      <c r="E50" t="s">
        <v>267</v>
      </c>
      <c r="F50">
        <v>218</v>
      </c>
      <c r="G50" t="s">
        <v>615</v>
      </c>
    </row>
    <row r="51" spans="1:8" x14ac:dyDescent="0.3">
      <c r="A51" s="15">
        <v>43493</v>
      </c>
      <c r="B51" s="15">
        <v>43493</v>
      </c>
      <c r="C51" t="s">
        <v>282</v>
      </c>
      <c r="E51" t="s">
        <v>267</v>
      </c>
      <c r="F51">
        <v>120</v>
      </c>
      <c r="G51" t="s">
        <v>653</v>
      </c>
    </row>
    <row r="52" spans="1:8" x14ac:dyDescent="0.3">
      <c r="A52" s="15">
        <v>43507</v>
      </c>
      <c r="B52" s="15">
        <v>43507</v>
      </c>
      <c r="C52" t="s">
        <v>273</v>
      </c>
      <c r="E52" t="s">
        <v>267</v>
      </c>
      <c r="F52">
        <v>80</v>
      </c>
    </row>
    <row r="53" spans="1:8" x14ac:dyDescent="0.3">
      <c r="A53" s="15">
        <v>43510</v>
      </c>
      <c r="B53" s="15">
        <v>43510</v>
      </c>
      <c r="C53" t="s">
        <v>270</v>
      </c>
      <c r="E53" t="s">
        <v>267</v>
      </c>
      <c r="F53">
        <v>20</v>
      </c>
      <c r="G53" t="s">
        <v>649</v>
      </c>
    </row>
    <row r="54" spans="1:8" x14ac:dyDescent="0.3">
      <c r="A54" s="15">
        <v>43516</v>
      </c>
      <c r="B54" s="15">
        <v>43516</v>
      </c>
      <c r="C54" t="s">
        <v>269</v>
      </c>
      <c r="E54" t="s">
        <v>267</v>
      </c>
      <c r="F54">
        <v>429</v>
      </c>
      <c r="G54" t="s">
        <v>672</v>
      </c>
      <c r="H54">
        <v>6.5</v>
      </c>
    </row>
    <row r="55" spans="1:8" x14ac:dyDescent="0.3">
      <c r="A55" s="15">
        <v>43518</v>
      </c>
      <c r="B55" s="15">
        <v>43518</v>
      </c>
      <c r="C55" t="s">
        <v>276</v>
      </c>
      <c r="F55">
        <v>250</v>
      </c>
      <c r="G55" t="s">
        <v>637</v>
      </c>
    </row>
    <row r="56" spans="1:8" x14ac:dyDescent="0.3">
      <c r="A56" s="15">
        <v>43529</v>
      </c>
      <c r="B56" s="15">
        <v>43529</v>
      </c>
      <c r="C56" t="s">
        <v>268</v>
      </c>
      <c r="F56">
        <v>440</v>
      </c>
      <c r="G56" t="s">
        <v>628</v>
      </c>
    </row>
    <row r="57" spans="1:8" x14ac:dyDescent="0.3">
      <c r="A57" s="15">
        <v>43531</v>
      </c>
      <c r="B57" s="15"/>
      <c r="C57" t="s">
        <v>280</v>
      </c>
      <c r="F57">
        <v>158</v>
      </c>
      <c r="G57" t="s">
        <v>636</v>
      </c>
    </row>
    <row r="58" spans="1:8" x14ac:dyDescent="0.3">
      <c r="A58" s="15">
        <v>43532</v>
      </c>
      <c r="B58" s="15"/>
      <c r="C58" t="s">
        <v>279</v>
      </c>
      <c r="F58">
        <v>127.5</v>
      </c>
      <c r="G58" t="s">
        <v>676</v>
      </c>
    </row>
    <row r="59" spans="1:8" x14ac:dyDescent="0.3">
      <c r="A59" s="15">
        <v>43546</v>
      </c>
      <c r="B59" s="15"/>
      <c r="C59" t="s">
        <v>283</v>
      </c>
      <c r="F59">
        <v>16.3</v>
      </c>
      <c r="G59" t="s">
        <v>691</v>
      </c>
    </row>
    <row r="60" spans="1:8" x14ac:dyDescent="0.3">
      <c r="A60" s="15">
        <v>43553</v>
      </c>
      <c r="B60" s="15"/>
      <c r="C60" t="s">
        <v>266</v>
      </c>
      <c r="F60">
        <v>234</v>
      </c>
      <c r="G60" t="s">
        <v>614</v>
      </c>
    </row>
    <row r="61" spans="1:8" x14ac:dyDescent="0.3">
      <c r="A61" s="15">
        <v>43554</v>
      </c>
      <c r="B61" s="15"/>
      <c r="C61" t="s">
        <v>278</v>
      </c>
      <c r="F61">
        <v>30</v>
      </c>
      <c r="G61" t="s">
        <v>664</v>
      </c>
      <c r="H61">
        <v>1.5</v>
      </c>
    </row>
    <row r="62" spans="1:8" x14ac:dyDescent="0.3">
      <c r="A62" s="15">
        <v>43557</v>
      </c>
      <c r="B62" s="15"/>
      <c r="C62" t="s">
        <v>280</v>
      </c>
      <c r="F62">
        <v>30</v>
      </c>
      <c r="G62" t="s">
        <v>623</v>
      </c>
    </row>
    <row r="63" spans="1:8" x14ac:dyDescent="0.3">
      <c r="A63" s="15">
        <v>43609</v>
      </c>
      <c r="B63" s="15"/>
      <c r="C63" t="s">
        <v>270</v>
      </c>
      <c r="F63">
        <v>20</v>
      </c>
      <c r="G63" t="s">
        <v>649</v>
      </c>
    </row>
    <row r="64" spans="1:8" x14ac:dyDescent="0.3">
      <c r="A64" s="15">
        <v>43606</v>
      </c>
      <c r="B64" s="15"/>
      <c r="C64" t="s">
        <v>277</v>
      </c>
      <c r="F64">
        <v>82.5</v>
      </c>
      <c r="G64" t="s">
        <v>684</v>
      </c>
    </row>
    <row r="65" spans="1:8" x14ac:dyDescent="0.3">
      <c r="A65" s="15">
        <v>43679</v>
      </c>
      <c r="C65" t="s">
        <v>273</v>
      </c>
      <c r="F65">
        <v>30</v>
      </c>
    </row>
    <row r="66" spans="1:8" x14ac:dyDescent="0.3">
      <c r="A66" s="15">
        <v>43690</v>
      </c>
      <c r="C66" t="s">
        <v>272</v>
      </c>
      <c r="F66">
        <v>11</v>
      </c>
      <c r="G66" t="s">
        <v>658</v>
      </c>
    </row>
    <row r="67" spans="1:8" x14ac:dyDescent="0.3">
      <c r="A67" s="15">
        <v>43698</v>
      </c>
      <c r="C67" t="s">
        <v>284</v>
      </c>
      <c r="F67">
        <v>15</v>
      </c>
    </row>
    <row r="68" spans="1:8" x14ac:dyDescent="0.3">
      <c r="A68" s="15">
        <v>43698</v>
      </c>
      <c r="C68" t="s">
        <v>277</v>
      </c>
      <c r="F68">
        <v>75</v>
      </c>
      <c r="G68" t="s">
        <v>683</v>
      </c>
    </row>
    <row r="69" spans="1:8" x14ac:dyDescent="0.3">
      <c r="A69" s="15">
        <v>43700</v>
      </c>
      <c r="C69" t="s">
        <v>269</v>
      </c>
      <c r="F69">
        <v>620</v>
      </c>
      <c r="G69" t="s">
        <v>671</v>
      </c>
      <c r="H69">
        <v>9.4</v>
      </c>
    </row>
    <row r="70" spans="1:8" x14ac:dyDescent="0.3">
      <c r="A70" s="15">
        <v>43703</v>
      </c>
      <c r="C70" t="s">
        <v>270</v>
      </c>
      <c r="F70">
        <v>20</v>
      </c>
      <c r="G70" t="s">
        <v>649</v>
      </c>
    </row>
    <row r="71" spans="1:8" x14ac:dyDescent="0.3">
      <c r="A71" s="15">
        <v>43705</v>
      </c>
      <c r="C71" t="s">
        <v>279</v>
      </c>
      <c r="F71">
        <v>26.25</v>
      </c>
      <c r="G71" t="s">
        <v>677</v>
      </c>
    </row>
    <row r="72" spans="1:8" x14ac:dyDescent="0.3">
      <c r="A72" s="15">
        <v>43711</v>
      </c>
      <c r="C72" t="s">
        <v>278</v>
      </c>
      <c r="F72">
        <v>20</v>
      </c>
      <c r="G72" t="s">
        <v>649</v>
      </c>
      <c r="H72">
        <v>1</v>
      </c>
    </row>
    <row r="73" spans="1:8" x14ac:dyDescent="0.3">
      <c r="A73" s="15">
        <v>43713</v>
      </c>
      <c r="C73" t="s">
        <v>276</v>
      </c>
      <c r="F73">
        <v>70.8</v>
      </c>
      <c r="G73" t="s">
        <v>641</v>
      </c>
    </row>
    <row r="74" spans="1:8" x14ac:dyDescent="0.3">
      <c r="A74" s="15">
        <v>43714</v>
      </c>
      <c r="C74" t="s">
        <v>280</v>
      </c>
      <c r="F74">
        <v>23</v>
      </c>
      <c r="G74" t="s">
        <v>634</v>
      </c>
    </row>
    <row r="75" spans="1:8" x14ac:dyDescent="0.3">
      <c r="A75" s="15">
        <v>43719</v>
      </c>
      <c r="C75" t="s">
        <v>268</v>
      </c>
      <c r="F75">
        <v>320</v>
      </c>
      <c r="G75" t="s">
        <v>629</v>
      </c>
    </row>
    <row r="76" spans="1:8" x14ac:dyDescent="0.3">
      <c r="A76" s="15">
        <v>43742</v>
      </c>
      <c r="C76" t="s">
        <v>274</v>
      </c>
      <c r="F76">
        <v>25</v>
      </c>
    </row>
    <row r="77" spans="1:8" x14ac:dyDescent="0.3">
      <c r="A77" s="15">
        <v>43742</v>
      </c>
      <c r="C77" t="s">
        <v>281</v>
      </c>
      <c r="F77">
        <v>10</v>
      </c>
    </row>
    <row r="78" spans="1:8" x14ac:dyDescent="0.3">
      <c r="A78" s="15">
        <v>43768</v>
      </c>
      <c r="C78" t="s">
        <v>282</v>
      </c>
      <c r="F78">
        <v>240</v>
      </c>
      <c r="G78" t="s">
        <v>654</v>
      </c>
    </row>
    <row r="79" spans="1:8" x14ac:dyDescent="0.3">
      <c r="A79" s="15">
        <v>43777</v>
      </c>
      <c r="C79" t="s">
        <v>270</v>
      </c>
      <c r="F79">
        <v>20</v>
      </c>
      <c r="G79" t="s">
        <v>649</v>
      </c>
    </row>
    <row r="80" spans="1:8" x14ac:dyDescent="0.3">
      <c r="A80" s="15">
        <v>43796</v>
      </c>
      <c r="C80" t="s">
        <v>274</v>
      </c>
      <c r="F80">
        <v>6.5</v>
      </c>
    </row>
    <row r="81" spans="1:8" x14ac:dyDescent="0.3">
      <c r="A81" s="103">
        <v>43865</v>
      </c>
      <c r="C81" t="s">
        <v>270</v>
      </c>
      <c r="F81">
        <v>40</v>
      </c>
      <c r="G81" t="s">
        <v>558</v>
      </c>
    </row>
    <row r="82" spans="1:8" x14ac:dyDescent="0.3">
      <c r="A82" s="103">
        <v>43874</v>
      </c>
      <c r="C82" t="s">
        <v>273</v>
      </c>
      <c r="F82">
        <v>90</v>
      </c>
    </row>
    <row r="83" spans="1:8" x14ac:dyDescent="0.3">
      <c r="A83" s="103">
        <v>43889</v>
      </c>
      <c r="C83" t="s">
        <v>276</v>
      </c>
      <c r="F83">
        <v>512</v>
      </c>
      <c r="G83" t="s">
        <v>452</v>
      </c>
    </row>
    <row r="84" spans="1:8" x14ac:dyDescent="0.3">
      <c r="A84" s="103">
        <v>43889</v>
      </c>
      <c r="C84" t="s">
        <v>279</v>
      </c>
      <c r="F84">
        <v>135</v>
      </c>
      <c r="G84" t="s">
        <v>678</v>
      </c>
    </row>
    <row r="85" spans="1:8" x14ac:dyDescent="0.3">
      <c r="A85" s="103">
        <v>43907</v>
      </c>
      <c r="C85" t="s">
        <v>284</v>
      </c>
      <c r="F85">
        <v>15</v>
      </c>
    </row>
    <row r="86" spans="1:8" x14ac:dyDescent="0.3">
      <c r="A86" s="103">
        <v>43914</v>
      </c>
      <c r="C86" t="s">
        <v>273</v>
      </c>
      <c r="F86">
        <v>30</v>
      </c>
    </row>
    <row r="87" spans="1:8" x14ac:dyDescent="0.3">
      <c r="A87" s="103">
        <v>43916</v>
      </c>
      <c r="C87" t="s">
        <v>266</v>
      </c>
      <c r="F87">
        <v>480</v>
      </c>
      <c r="G87" t="s">
        <v>612</v>
      </c>
    </row>
    <row r="88" spans="1:8" x14ac:dyDescent="0.3">
      <c r="A88" s="103">
        <v>43917</v>
      </c>
      <c r="C88" t="s">
        <v>278</v>
      </c>
      <c r="F88">
        <v>85</v>
      </c>
      <c r="G88" t="s">
        <v>666</v>
      </c>
      <c r="H88">
        <v>4.25</v>
      </c>
    </row>
    <row r="89" spans="1:8" x14ac:dyDescent="0.3">
      <c r="A89" s="103">
        <v>43917</v>
      </c>
      <c r="C89" t="s">
        <v>268</v>
      </c>
      <c r="F89">
        <v>660</v>
      </c>
      <c r="G89" t="s">
        <v>627</v>
      </c>
    </row>
    <row r="90" spans="1:8" x14ac:dyDescent="0.3">
      <c r="A90" s="103">
        <v>43917</v>
      </c>
      <c r="C90" t="s">
        <v>280</v>
      </c>
      <c r="F90">
        <v>150</v>
      </c>
      <c r="G90" t="s">
        <v>620</v>
      </c>
    </row>
    <row r="91" spans="1:8" x14ac:dyDescent="0.3">
      <c r="A91" s="103">
        <v>44015</v>
      </c>
      <c r="C91" t="s">
        <v>282</v>
      </c>
      <c r="F91">
        <v>285</v>
      </c>
      <c r="G91" t="s">
        <v>655</v>
      </c>
    </row>
    <row r="92" spans="1:8" x14ac:dyDescent="0.3">
      <c r="A92" s="103">
        <v>44021</v>
      </c>
      <c r="C92" t="s">
        <v>277</v>
      </c>
      <c r="F92">
        <v>90</v>
      </c>
      <c r="G92" t="s">
        <v>652</v>
      </c>
    </row>
    <row r="93" spans="1:8" x14ac:dyDescent="0.3">
      <c r="A93" s="103">
        <v>44050</v>
      </c>
      <c r="C93" t="s">
        <v>270</v>
      </c>
      <c r="F93">
        <v>40</v>
      </c>
      <c r="G93" t="s">
        <v>558</v>
      </c>
    </row>
    <row r="94" spans="1:8" x14ac:dyDescent="0.3">
      <c r="A94" s="103">
        <v>44093</v>
      </c>
      <c r="C94" t="s">
        <v>269</v>
      </c>
      <c r="F94">
        <v>643.5</v>
      </c>
      <c r="G94" t="s">
        <v>674</v>
      </c>
      <c r="H94">
        <v>9.75</v>
      </c>
    </row>
    <row r="95" spans="1:8" x14ac:dyDescent="0.3">
      <c r="A95" s="103">
        <v>44109</v>
      </c>
      <c r="C95" t="s">
        <v>270</v>
      </c>
      <c r="F95">
        <v>40</v>
      </c>
      <c r="G95" t="s">
        <v>558</v>
      </c>
    </row>
    <row r="96" spans="1:8" x14ac:dyDescent="0.3">
      <c r="A96" s="103">
        <v>44116</v>
      </c>
      <c r="C96" t="s">
        <v>279</v>
      </c>
      <c r="F96">
        <v>24</v>
      </c>
      <c r="G96" t="s">
        <v>679</v>
      </c>
    </row>
    <row r="97" spans="1:8" x14ac:dyDescent="0.3">
      <c r="A97" s="103">
        <v>44144</v>
      </c>
      <c r="C97" t="s">
        <v>270</v>
      </c>
      <c r="F97">
        <v>80</v>
      </c>
      <c r="G97" t="s">
        <v>647</v>
      </c>
    </row>
    <row r="98" spans="1:8" x14ac:dyDescent="0.3">
      <c r="A98" s="103">
        <v>44146</v>
      </c>
      <c r="C98" t="s">
        <v>282</v>
      </c>
      <c r="F98">
        <v>360</v>
      </c>
      <c r="G98" t="s">
        <v>652</v>
      </c>
    </row>
    <row r="99" spans="1:8" x14ac:dyDescent="0.3">
      <c r="A99" s="15">
        <v>44154</v>
      </c>
      <c r="C99" t="s">
        <v>361</v>
      </c>
      <c r="F99">
        <v>8</v>
      </c>
    </row>
    <row r="100" spans="1:8" x14ac:dyDescent="0.3">
      <c r="A100" s="15">
        <v>44159</v>
      </c>
      <c r="C100" t="s">
        <v>277</v>
      </c>
      <c r="F100">
        <v>75</v>
      </c>
      <c r="G100" t="s">
        <v>683</v>
      </c>
    </row>
    <row r="101" spans="1:8" x14ac:dyDescent="0.3">
      <c r="A101" s="15">
        <v>44162</v>
      </c>
      <c r="C101" t="s">
        <v>266</v>
      </c>
      <c r="F101">
        <v>300</v>
      </c>
      <c r="G101" t="s">
        <v>613</v>
      </c>
    </row>
    <row r="102" spans="1:8" x14ac:dyDescent="0.3">
      <c r="A102" s="15">
        <v>44230</v>
      </c>
      <c r="C102" t="s">
        <v>220</v>
      </c>
      <c r="F102">
        <v>12</v>
      </c>
      <c r="G102" t="s">
        <v>692</v>
      </c>
    </row>
    <row r="103" spans="1:8" x14ac:dyDescent="0.3">
      <c r="A103" s="15">
        <v>44235</v>
      </c>
      <c r="C103" t="s">
        <v>270</v>
      </c>
      <c r="F103">
        <v>80</v>
      </c>
      <c r="G103" t="s">
        <v>647</v>
      </c>
    </row>
    <row r="104" spans="1:8" x14ac:dyDescent="0.3">
      <c r="A104" s="15">
        <v>44236</v>
      </c>
      <c r="C104" t="s">
        <v>276</v>
      </c>
      <c r="F104">
        <v>200</v>
      </c>
      <c r="G104" t="s">
        <v>451</v>
      </c>
    </row>
    <row r="105" spans="1:8" x14ac:dyDescent="0.3">
      <c r="A105" s="15">
        <v>44245</v>
      </c>
      <c r="C105" t="s">
        <v>361</v>
      </c>
      <c r="F105">
        <v>100</v>
      </c>
    </row>
    <row r="106" spans="1:8" x14ac:dyDescent="0.3">
      <c r="A106" s="15">
        <v>44250</v>
      </c>
      <c r="C106" t="s">
        <v>278</v>
      </c>
      <c r="F106">
        <v>150</v>
      </c>
      <c r="G106" t="s">
        <v>665</v>
      </c>
      <c r="H106">
        <v>7.5</v>
      </c>
    </row>
    <row r="107" spans="1:8" x14ac:dyDescent="0.3">
      <c r="A107" s="15">
        <v>44259</v>
      </c>
      <c r="C107" t="s">
        <v>268</v>
      </c>
      <c r="F107">
        <v>640</v>
      </c>
      <c r="G107" t="s">
        <v>626</v>
      </c>
    </row>
    <row r="108" spans="1:8" x14ac:dyDescent="0.3">
      <c r="A108" s="15">
        <v>44261</v>
      </c>
      <c r="C108" t="s">
        <v>280</v>
      </c>
      <c r="F108">
        <v>53</v>
      </c>
      <c r="G108" t="s">
        <v>619</v>
      </c>
    </row>
    <row r="109" spans="1:8" x14ac:dyDescent="0.3">
      <c r="A109" s="15">
        <v>44264</v>
      </c>
      <c r="C109" t="s">
        <v>279</v>
      </c>
      <c r="F109">
        <v>52.5</v>
      </c>
      <c r="G109" t="s">
        <v>680</v>
      </c>
    </row>
    <row r="110" spans="1:8" x14ac:dyDescent="0.3">
      <c r="A110" s="15">
        <v>44279</v>
      </c>
      <c r="C110" t="s">
        <v>266</v>
      </c>
      <c r="F110">
        <v>200</v>
      </c>
      <c r="G110" t="s">
        <v>564</v>
      </c>
    </row>
    <row r="111" spans="1:8" x14ac:dyDescent="0.3">
      <c r="A111" s="15">
        <v>44286</v>
      </c>
      <c r="C111" t="s">
        <v>276</v>
      </c>
      <c r="F111">
        <v>200</v>
      </c>
      <c r="G111" t="s">
        <v>451</v>
      </c>
    </row>
    <row r="112" spans="1:8" x14ac:dyDescent="0.3">
      <c r="A112" s="15">
        <v>44295</v>
      </c>
      <c r="C112" t="s">
        <v>278</v>
      </c>
      <c r="F112">
        <v>60</v>
      </c>
      <c r="G112" t="s">
        <v>648</v>
      </c>
      <c r="H112">
        <v>3</v>
      </c>
    </row>
    <row r="113" spans="1:7" x14ac:dyDescent="0.3">
      <c r="A113" s="15">
        <v>44295</v>
      </c>
      <c r="C113" t="s">
        <v>268</v>
      </c>
      <c r="F113">
        <v>200</v>
      </c>
      <c r="G113" t="s">
        <v>564</v>
      </c>
    </row>
    <row r="114" spans="1:7" x14ac:dyDescent="0.3">
      <c r="A114" s="15">
        <v>44335</v>
      </c>
      <c r="C114" t="s">
        <v>270</v>
      </c>
      <c r="F114">
        <v>320</v>
      </c>
      <c r="G114" t="s">
        <v>646</v>
      </c>
    </row>
    <row r="115" spans="1:7" x14ac:dyDescent="0.3">
      <c r="A115" s="15">
        <v>44335</v>
      </c>
      <c r="C115" t="s">
        <v>361</v>
      </c>
      <c r="F115">
        <v>232</v>
      </c>
    </row>
    <row r="116" spans="1:7" x14ac:dyDescent="0.3">
      <c r="A116" s="15">
        <v>44336</v>
      </c>
      <c r="C116" t="s">
        <v>277</v>
      </c>
      <c r="F116">
        <v>90</v>
      </c>
      <c r="G116" t="s">
        <v>652</v>
      </c>
    </row>
    <row r="117" spans="1:7" x14ac:dyDescent="0.3">
      <c r="A117" s="15">
        <v>44343</v>
      </c>
      <c r="C117" t="s">
        <v>440</v>
      </c>
      <c r="F117">
        <v>15</v>
      </c>
      <c r="G117" t="s">
        <v>690</v>
      </c>
    </row>
    <row r="118" spans="1:7" x14ac:dyDescent="0.3">
      <c r="A118" s="15">
        <v>44354</v>
      </c>
      <c r="C118" t="s">
        <v>426</v>
      </c>
      <c r="F118">
        <v>125</v>
      </c>
      <c r="G118" t="s">
        <v>682</v>
      </c>
    </row>
    <row r="119" spans="1:7" x14ac:dyDescent="0.3">
      <c r="A119" s="15">
        <v>44361</v>
      </c>
      <c r="C119" t="s">
        <v>220</v>
      </c>
      <c r="F119">
        <v>30</v>
      </c>
      <c r="G119" t="s">
        <v>693</v>
      </c>
    </row>
    <row r="120" spans="1:7" x14ac:dyDescent="0.3">
      <c r="A120" s="15">
        <v>44371</v>
      </c>
      <c r="C120" t="s">
        <v>427</v>
      </c>
      <c r="F120">
        <v>70</v>
      </c>
      <c r="G120" t="s">
        <v>694</v>
      </c>
    </row>
    <row r="121" spans="1:7" x14ac:dyDescent="0.3">
      <c r="A121" s="15">
        <v>44372</v>
      </c>
      <c r="C121" t="s">
        <v>282</v>
      </c>
      <c r="F121">
        <v>450</v>
      </c>
      <c r="G121" t="s">
        <v>651</v>
      </c>
    </row>
    <row r="122" spans="1:7" x14ac:dyDescent="0.3">
      <c r="A122" s="15">
        <v>44379</v>
      </c>
      <c r="C122" t="s">
        <v>429</v>
      </c>
      <c r="F122">
        <v>58</v>
      </c>
      <c r="G122" t="s">
        <v>624</v>
      </c>
    </row>
    <row r="123" spans="1:7" x14ac:dyDescent="0.3">
      <c r="A123" s="15">
        <v>44403</v>
      </c>
      <c r="C123" t="s">
        <v>283</v>
      </c>
      <c r="F123">
        <v>20</v>
      </c>
      <c r="G123" t="s">
        <v>642</v>
      </c>
    </row>
    <row r="124" spans="1:7" x14ac:dyDescent="0.3">
      <c r="A124" s="15">
        <v>44405</v>
      </c>
      <c r="C124" t="s">
        <v>430</v>
      </c>
      <c r="F124">
        <v>90</v>
      </c>
    </row>
    <row r="125" spans="1:7" x14ac:dyDescent="0.3">
      <c r="A125" s="15">
        <v>44413</v>
      </c>
      <c r="C125" t="s">
        <v>220</v>
      </c>
      <c r="F125">
        <v>14</v>
      </c>
      <c r="G125" t="s">
        <v>687</v>
      </c>
    </row>
    <row r="126" spans="1:7" x14ac:dyDescent="0.3">
      <c r="A126" s="15">
        <v>44418</v>
      </c>
      <c r="C126" t="s">
        <v>270</v>
      </c>
      <c r="F126">
        <v>120</v>
      </c>
      <c r="G126" t="s">
        <v>645</v>
      </c>
    </row>
    <row r="127" spans="1:7" x14ac:dyDescent="0.3">
      <c r="A127" s="15">
        <v>44421</v>
      </c>
      <c r="C127" t="s">
        <v>384</v>
      </c>
      <c r="F127">
        <v>805</v>
      </c>
      <c r="G127" t="s">
        <v>657</v>
      </c>
    </row>
    <row r="128" spans="1:7" x14ac:dyDescent="0.3">
      <c r="A128" s="15">
        <v>44421</v>
      </c>
      <c r="C128" t="s">
        <v>431</v>
      </c>
      <c r="F128">
        <v>85</v>
      </c>
      <c r="G128" t="s">
        <v>696</v>
      </c>
    </row>
    <row r="129" spans="1:8" x14ac:dyDescent="0.3">
      <c r="A129" s="15">
        <v>44434</v>
      </c>
      <c r="C129" t="s">
        <v>277</v>
      </c>
      <c r="F129">
        <v>75</v>
      </c>
      <c r="G129" t="s">
        <v>683</v>
      </c>
    </row>
    <row r="130" spans="1:8" x14ac:dyDescent="0.3">
      <c r="A130" s="15">
        <v>44435</v>
      </c>
      <c r="C130" t="s">
        <v>432</v>
      </c>
      <c r="F130">
        <v>65</v>
      </c>
    </row>
    <row r="131" spans="1:8" x14ac:dyDescent="0.3">
      <c r="A131" s="15">
        <v>44440</v>
      </c>
      <c r="C131" t="s">
        <v>272</v>
      </c>
      <c r="F131">
        <v>22</v>
      </c>
      <c r="G131" t="s">
        <v>659</v>
      </c>
    </row>
    <row r="132" spans="1:8" x14ac:dyDescent="0.3">
      <c r="A132" s="15">
        <v>44442</v>
      </c>
      <c r="C132" t="s">
        <v>278</v>
      </c>
      <c r="F132">
        <v>30</v>
      </c>
      <c r="G132" t="s">
        <v>664</v>
      </c>
      <c r="H132">
        <v>1.5</v>
      </c>
    </row>
    <row r="133" spans="1:8" x14ac:dyDescent="0.3">
      <c r="A133" s="15">
        <v>44446</v>
      </c>
      <c r="C133" t="s">
        <v>433</v>
      </c>
      <c r="F133">
        <v>20</v>
      </c>
    </row>
    <row r="134" spans="1:8" x14ac:dyDescent="0.3">
      <c r="A134" s="15">
        <v>44454</v>
      </c>
      <c r="C134" t="s">
        <v>434</v>
      </c>
      <c r="F134">
        <v>337.5</v>
      </c>
    </row>
    <row r="135" spans="1:8" x14ac:dyDescent="0.3">
      <c r="A135" s="15">
        <v>44456</v>
      </c>
      <c r="C135" t="s">
        <v>435</v>
      </c>
      <c r="F135">
        <v>20</v>
      </c>
    </row>
    <row r="136" spans="1:8" x14ac:dyDescent="0.3">
      <c r="A136" s="15">
        <v>44457</v>
      </c>
      <c r="C136" t="s">
        <v>269</v>
      </c>
      <c r="F136">
        <v>1501.5</v>
      </c>
      <c r="G136" t="s">
        <v>566</v>
      </c>
      <c r="H136">
        <v>22.75</v>
      </c>
    </row>
    <row r="137" spans="1:8" x14ac:dyDescent="0.3">
      <c r="A137" s="15">
        <v>44462</v>
      </c>
      <c r="C137" t="s">
        <v>266</v>
      </c>
      <c r="F137">
        <v>140</v>
      </c>
      <c r="G137" t="s">
        <v>695</v>
      </c>
    </row>
    <row r="138" spans="1:8" x14ac:dyDescent="0.3">
      <c r="A138" s="15">
        <v>44466</v>
      </c>
      <c r="C138" t="s">
        <v>284</v>
      </c>
      <c r="F138">
        <v>30</v>
      </c>
    </row>
    <row r="139" spans="1:8" x14ac:dyDescent="0.3">
      <c r="A139" s="15">
        <v>44467</v>
      </c>
      <c r="C139" t="s">
        <v>436</v>
      </c>
      <c r="F139">
        <v>350</v>
      </c>
    </row>
    <row r="140" spans="1:8" x14ac:dyDescent="0.3">
      <c r="A140" s="15">
        <v>44467</v>
      </c>
      <c r="C140" t="s">
        <v>437</v>
      </c>
      <c r="F140">
        <v>63</v>
      </c>
      <c r="G140" t="s">
        <v>689</v>
      </c>
    </row>
    <row r="141" spans="1:8" x14ac:dyDescent="0.3">
      <c r="A141" s="15">
        <v>44467</v>
      </c>
      <c r="C141" t="s">
        <v>438</v>
      </c>
      <c r="F141">
        <v>45</v>
      </c>
    </row>
    <row r="142" spans="1:8" x14ac:dyDescent="0.3">
      <c r="A142" s="15">
        <v>44468</v>
      </c>
      <c r="C142" t="s">
        <v>439</v>
      </c>
      <c r="F142">
        <v>30</v>
      </c>
    </row>
    <row r="143" spans="1:8" x14ac:dyDescent="0.3">
      <c r="A143" s="15">
        <v>44469</v>
      </c>
      <c r="C143" t="s">
        <v>280</v>
      </c>
      <c r="F143">
        <v>56</v>
      </c>
      <c r="G143" t="s">
        <v>621</v>
      </c>
    </row>
    <row r="144" spans="1:8" x14ac:dyDescent="0.3">
      <c r="A144" s="15">
        <v>44480</v>
      </c>
      <c r="C144" t="s">
        <v>440</v>
      </c>
      <c r="F144">
        <v>15</v>
      </c>
      <c r="G144" t="s">
        <v>690</v>
      </c>
    </row>
    <row r="145" spans="1:8" x14ac:dyDescent="0.3">
      <c r="A145" s="15">
        <v>44481</v>
      </c>
      <c r="C145" t="s">
        <v>279</v>
      </c>
      <c r="F145">
        <v>22.5</v>
      </c>
      <c r="G145" t="s">
        <v>681</v>
      </c>
    </row>
    <row r="146" spans="1:8" x14ac:dyDescent="0.3">
      <c r="A146" s="15">
        <v>44494</v>
      </c>
      <c r="C146" t="s">
        <v>268</v>
      </c>
      <c r="F146">
        <v>2320</v>
      </c>
      <c r="G146" t="s">
        <v>562</v>
      </c>
    </row>
    <row r="147" spans="1:8" x14ac:dyDescent="0.3">
      <c r="A147" s="15">
        <v>44503</v>
      </c>
      <c r="C147" t="s">
        <v>220</v>
      </c>
      <c r="F147">
        <v>14</v>
      </c>
      <c r="G147" t="s">
        <v>687</v>
      </c>
    </row>
    <row r="148" spans="1:8" x14ac:dyDescent="0.3">
      <c r="A148" s="15">
        <v>44508</v>
      </c>
      <c r="C148" t="s">
        <v>270</v>
      </c>
      <c r="F148">
        <v>200</v>
      </c>
      <c r="G148" t="s">
        <v>644</v>
      </c>
    </row>
    <row r="149" spans="1:8" x14ac:dyDescent="0.3">
      <c r="A149" s="15">
        <v>44510</v>
      </c>
      <c r="C149" t="s">
        <v>282</v>
      </c>
      <c r="F149">
        <v>450</v>
      </c>
      <c r="G149" t="s">
        <v>651</v>
      </c>
    </row>
    <row r="150" spans="1:8" x14ac:dyDescent="0.3">
      <c r="A150" s="15">
        <v>44510</v>
      </c>
      <c r="C150" t="s">
        <v>429</v>
      </c>
      <c r="F150">
        <v>14.6</v>
      </c>
      <c r="G150" t="s">
        <v>625</v>
      </c>
    </row>
    <row r="151" spans="1:8" x14ac:dyDescent="0.3">
      <c r="A151" s="15">
        <v>44524</v>
      </c>
      <c r="C151" t="s">
        <v>278</v>
      </c>
      <c r="F151">
        <v>100</v>
      </c>
      <c r="G151" t="s">
        <v>663</v>
      </c>
      <c r="H151">
        <v>5</v>
      </c>
    </row>
    <row r="152" spans="1:8" x14ac:dyDescent="0.3">
      <c r="A152" s="15">
        <v>44525</v>
      </c>
      <c r="C152" t="s">
        <v>268</v>
      </c>
      <c r="F152">
        <v>200</v>
      </c>
      <c r="G152" t="s">
        <v>564</v>
      </c>
    </row>
    <row r="153" spans="1:8" x14ac:dyDescent="0.3">
      <c r="A153" s="15">
        <v>44526</v>
      </c>
      <c r="C153" t="s">
        <v>361</v>
      </c>
      <c r="F153">
        <v>232</v>
      </c>
    </row>
    <row r="154" spans="1:8" x14ac:dyDescent="0.3">
      <c r="A154" s="15">
        <v>44531</v>
      </c>
      <c r="C154" t="s">
        <v>279</v>
      </c>
      <c r="F154">
        <v>52.5</v>
      </c>
      <c r="G154" t="s">
        <v>680</v>
      </c>
    </row>
    <row r="155" spans="1:8" x14ac:dyDescent="0.3">
      <c r="A155" s="15">
        <v>44533</v>
      </c>
      <c r="C155" t="s">
        <v>280</v>
      </c>
      <c r="F155">
        <v>165</v>
      </c>
      <c r="G155" t="s">
        <v>622</v>
      </c>
    </row>
    <row r="156" spans="1:8" x14ac:dyDescent="0.3">
      <c r="A156" s="15">
        <v>44551</v>
      </c>
      <c r="C156" t="s">
        <v>266</v>
      </c>
      <c r="F156">
        <v>360</v>
      </c>
      <c r="G156" t="s">
        <v>565</v>
      </c>
    </row>
    <row r="157" spans="1:8" x14ac:dyDescent="0.3">
      <c r="A157" s="15">
        <v>44572</v>
      </c>
      <c r="C157" t="s">
        <v>276</v>
      </c>
      <c r="F157">
        <v>320</v>
      </c>
      <c r="G157" t="s">
        <v>450</v>
      </c>
    </row>
    <row r="158" spans="1:8" x14ac:dyDescent="0.3">
      <c r="A158" s="15">
        <v>44596</v>
      </c>
      <c r="C158" t="s">
        <v>270</v>
      </c>
      <c r="F158">
        <v>200</v>
      </c>
      <c r="G158" t="s">
        <v>644</v>
      </c>
      <c r="H158" s="15"/>
    </row>
    <row r="159" spans="1:8" x14ac:dyDescent="0.3">
      <c r="A159" s="15">
        <v>44599</v>
      </c>
      <c r="C159" t="s">
        <v>220</v>
      </c>
      <c r="F159">
        <v>14</v>
      </c>
      <c r="G159" t="s">
        <v>687</v>
      </c>
      <c r="H159" s="15"/>
    </row>
    <row r="160" spans="1:8" x14ac:dyDescent="0.3">
      <c r="A160" s="15">
        <v>44614</v>
      </c>
      <c r="C160" t="s">
        <v>278</v>
      </c>
      <c r="F160">
        <v>80</v>
      </c>
      <c r="G160" t="s">
        <v>647</v>
      </c>
      <c r="H160">
        <v>4</v>
      </c>
    </row>
    <row r="161" spans="1:7" x14ac:dyDescent="0.3">
      <c r="A161" s="15">
        <v>44614</v>
      </c>
      <c r="C161" t="s">
        <v>433</v>
      </c>
      <c r="F161">
        <v>60</v>
      </c>
    </row>
    <row r="162" spans="1:7" x14ac:dyDescent="0.3">
      <c r="A162" s="15">
        <v>44617</v>
      </c>
      <c r="C162" t="s">
        <v>268</v>
      </c>
      <c r="F162">
        <v>400</v>
      </c>
      <c r="G162" t="s">
        <v>563</v>
      </c>
    </row>
    <row r="163" spans="1:7" x14ac:dyDescent="0.3">
      <c r="A163" s="15">
        <v>44622</v>
      </c>
      <c r="C163" t="s">
        <v>437</v>
      </c>
      <c r="F163">
        <v>450</v>
      </c>
      <c r="G163" t="s">
        <v>688</v>
      </c>
    </row>
    <row r="164" spans="1:7" x14ac:dyDescent="0.3">
      <c r="A164" s="15">
        <v>44624</v>
      </c>
      <c r="C164" t="s">
        <v>384</v>
      </c>
      <c r="F164">
        <v>1313</v>
      </c>
      <c r="G164" t="s">
        <v>656</v>
      </c>
    </row>
    <row r="165" spans="1:7" x14ac:dyDescent="0.3">
      <c r="A165" s="15">
        <v>44624</v>
      </c>
      <c r="C165" t="s">
        <v>279</v>
      </c>
      <c r="F165">
        <v>86.25</v>
      </c>
      <c r="G165" t="s">
        <v>643</v>
      </c>
    </row>
    <row r="166" spans="1:7" x14ac:dyDescent="0.3">
      <c r="A166" s="15">
        <v>44625</v>
      </c>
      <c r="C166" t="s">
        <v>280</v>
      </c>
      <c r="F166">
        <v>53</v>
      </c>
      <c r="G166" t="s">
        <v>619</v>
      </c>
    </row>
    <row r="167" spans="1:7" x14ac:dyDescent="0.3">
      <c r="A167" s="15">
        <v>44631</v>
      </c>
      <c r="C167" t="s">
        <v>266</v>
      </c>
      <c r="F167">
        <v>200</v>
      </c>
      <c r="G167" t="s">
        <v>564</v>
      </c>
    </row>
    <row r="168" spans="1:7" x14ac:dyDescent="0.3">
      <c r="A168" s="15">
        <v>44650</v>
      </c>
      <c r="C168" t="s">
        <v>276</v>
      </c>
      <c r="F168">
        <v>400</v>
      </c>
      <c r="G168" t="s">
        <v>545</v>
      </c>
    </row>
    <row r="169" spans="1:7" x14ac:dyDescent="0.3">
      <c r="A169" s="15">
        <v>44683</v>
      </c>
      <c r="C169" t="s">
        <v>274</v>
      </c>
      <c r="F169">
        <v>10</v>
      </c>
    </row>
    <row r="170" spans="1:7" x14ac:dyDescent="0.3">
      <c r="A170" s="15">
        <v>44692</v>
      </c>
      <c r="C170" t="s">
        <v>270</v>
      </c>
      <c r="F170">
        <v>360</v>
      </c>
      <c r="G170" t="s">
        <v>544</v>
      </c>
    </row>
    <row r="171" spans="1:7" x14ac:dyDescent="0.3">
      <c r="A171" s="15">
        <v>44699</v>
      </c>
      <c r="C171" t="s">
        <v>361</v>
      </c>
      <c r="F171">
        <v>523.20000000000005</v>
      </c>
      <c r="G171" t="s">
        <v>552</v>
      </c>
    </row>
    <row r="172" spans="1:7" x14ac:dyDescent="0.3">
      <c r="A172" s="15">
        <v>44706</v>
      </c>
      <c r="C172" t="s">
        <v>433</v>
      </c>
      <c r="F172">
        <v>40</v>
      </c>
      <c r="G172" t="s">
        <v>558</v>
      </c>
    </row>
    <row r="173" spans="1:7" x14ac:dyDescent="0.3">
      <c r="A173" s="15">
        <v>44715</v>
      </c>
      <c r="C173" t="s">
        <v>426</v>
      </c>
      <c r="F173">
        <v>15.95</v>
      </c>
      <c r="G173" t="s">
        <v>559</v>
      </c>
    </row>
    <row r="174" spans="1:7" x14ac:dyDescent="0.3">
      <c r="A174" s="15">
        <v>44718</v>
      </c>
      <c r="C174" t="s">
        <v>440</v>
      </c>
      <c r="F174">
        <v>20</v>
      </c>
      <c r="G174" t="s">
        <v>642</v>
      </c>
    </row>
    <row r="175" spans="1:7" x14ac:dyDescent="0.3">
      <c r="A175" s="15">
        <v>44725</v>
      </c>
      <c r="C175" t="s">
        <v>220</v>
      </c>
      <c r="F175">
        <v>44</v>
      </c>
      <c r="G175" t="s">
        <v>604</v>
      </c>
    </row>
    <row r="176" spans="1:7" x14ac:dyDescent="0.3">
      <c r="A176" s="15">
        <v>44739</v>
      </c>
      <c r="C176" t="s">
        <v>277</v>
      </c>
      <c r="F176">
        <v>159</v>
      </c>
      <c r="G176" t="s">
        <v>602</v>
      </c>
    </row>
    <row r="177" spans="1:7" x14ac:dyDescent="0.3">
      <c r="A177" s="15">
        <v>44739</v>
      </c>
      <c r="C177" t="s">
        <v>601</v>
      </c>
      <c r="F177">
        <v>19</v>
      </c>
      <c r="G177" t="s">
        <v>603</v>
      </c>
    </row>
    <row r="178" spans="1:7" x14ac:dyDescent="0.3">
      <c r="A178" s="15">
        <v>44740</v>
      </c>
      <c r="C178" t="s">
        <v>282</v>
      </c>
      <c r="F178">
        <v>480</v>
      </c>
      <c r="G178" t="s">
        <v>605</v>
      </c>
    </row>
    <row r="179" spans="1:7" x14ac:dyDescent="0.3">
      <c r="A179" s="15">
        <v>44741</v>
      </c>
      <c r="C179" t="s">
        <v>606</v>
      </c>
      <c r="F179">
        <v>220</v>
      </c>
      <c r="G179" t="s">
        <v>607</v>
      </c>
    </row>
    <row r="180" spans="1:7" x14ac:dyDescent="0.3">
      <c r="A180" s="15">
        <v>44741</v>
      </c>
      <c r="C180" t="s">
        <v>609</v>
      </c>
      <c r="F180">
        <v>24.2</v>
      </c>
      <c r="G180" t="s">
        <v>608</v>
      </c>
    </row>
    <row r="181" spans="1:7" x14ac:dyDescent="0.3">
      <c r="A181" s="15">
        <v>44743</v>
      </c>
      <c r="C181" t="s">
        <v>429</v>
      </c>
      <c r="F181">
        <v>62</v>
      </c>
      <c r="G181" t="s">
        <v>610</v>
      </c>
    </row>
    <row r="182" spans="1:7" x14ac:dyDescent="0.3">
      <c r="A182" s="15">
        <v>44744</v>
      </c>
      <c r="C182" t="s">
        <v>283</v>
      </c>
      <c r="F182">
        <v>17</v>
      </c>
      <c r="G182" t="s">
        <v>611</v>
      </c>
    </row>
    <row r="183" spans="1:7" x14ac:dyDescent="0.3">
      <c r="A183" s="15">
        <v>44764</v>
      </c>
      <c r="C183" t="s">
        <v>384</v>
      </c>
      <c r="F183">
        <v>1644</v>
      </c>
      <c r="G183" t="s">
        <v>701</v>
      </c>
    </row>
    <row r="184" spans="1:7" x14ac:dyDescent="0.3">
      <c r="A184" s="15">
        <v>44764</v>
      </c>
      <c r="C184" t="s">
        <v>426</v>
      </c>
      <c r="F184">
        <v>1073.5</v>
      </c>
      <c r="G184" t="s">
        <v>700</v>
      </c>
    </row>
    <row r="185" spans="1:7" x14ac:dyDescent="0.3">
      <c r="A185" s="15">
        <v>44769</v>
      </c>
      <c r="C185" t="s">
        <v>703</v>
      </c>
      <c r="F185">
        <v>347</v>
      </c>
    </row>
    <row r="186" spans="1:7" x14ac:dyDescent="0.3">
      <c r="A186" s="15">
        <v>44775</v>
      </c>
      <c r="C186" t="s">
        <v>270</v>
      </c>
      <c r="F186">
        <v>200</v>
      </c>
      <c r="G186" t="s">
        <v>644</v>
      </c>
    </row>
    <row r="187" spans="1:7" x14ac:dyDescent="0.3">
      <c r="A187" s="15">
        <v>44776</v>
      </c>
      <c r="C187" t="s">
        <v>220</v>
      </c>
      <c r="F187">
        <v>16</v>
      </c>
      <c r="G187" t="s">
        <v>711</v>
      </c>
    </row>
    <row r="188" spans="1:7" x14ac:dyDescent="0.3">
      <c r="A188" s="15">
        <v>44776</v>
      </c>
      <c r="C188" t="s">
        <v>712</v>
      </c>
      <c r="F188">
        <v>5</v>
      </c>
      <c r="G188" t="s">
        <v>713</v>
      </c>
    </row>
    <row r="189" spans="1:7" x14ac:dyDescent="0.3">
      <c r="A189" s="15">
        <v>44790</v>
      </c>
      <c r="C189" t="s">
        <v>431</v>
      </c>
      <c r="F189">
        <v>100</v>
      </c>
      <c r="G189" t="s">
        <v>739</v>
      </c>
    </row>
    <row r="190" spans="1:7" x14ac:dyDescent="0.3">
      <c r="A190" s="15">
        <v>44799</v>
      </c>
      <c r="C190" t="s">
        <v>277</v>
      </c>
      <c r="F190">
        <v>159</v>
      </c>
    </row>
    <row r="191" spans="1:7" x14ac:dyDescent="0.3">
      <c r="A191" s="15">
        <v>44803</v>
      </c>
      <c r="C191" t="s">
        <v>427</v>
      </c>
      <c r="F191">
        <v>80</v>
      </c>
      <c r="G191" t="s">
        <v>754</v>
      </c>
    </row>
    <row r="192" spans="1:7" x14ac:dyDescent="0.3">
      <c r="A192" s="15">
        <v>44805</v>
      </c>
      <c r="C192" t="s">
        <v>272</v>
      </c>
      <c r="F192">
        <v>55</v>
      </c>
      <c r="G192" t="s">
        <v>755</v>
      </c>
    </row>
    <row r="193" spans="1:8" x14ac:dyDescent="0.3">
      <c r="A193" s="15">
        <v>44805</v>
      </c>
      <c r="C193" t="s">
        <v>284</v>
      </c>
      <c r="F193">
        <v>17</v>
      </c>
    </row>
    <row r="194" spans="1:8" x14ac:dyDescent="0.3">
      <c r="A194" s="15">
        <v>44806</v>
      </c>
      <c r="C194" t="s">
        <v>278</v>
      </c>
      <c r="F194">
        <v>1980</v>
      </c>
      <c r="G194" t="s">
        <v>747</v>
      </c>
      <c r="H194">
        <v>2.4</v>
      </c>
    </row>
    <row r="195" spans="1:8" x14ac:dyDescent="0.3">
      <c r="A195" s="15">
        <v>44807</v>
      </c>
      <c r="C195" t="s">
        <v>269</v>
      </c>
      <c r="F195">
        <v>1134</v>
      </c>
      <c r="G195" t="s">
        <v>748</v>
      </c>
      <c r="H195">
        <v>14</v>
      </c>
    </row>
    <row r="196" spans="1:8" x14ac:dyDescent="0.3">
      <c r="A196" s="15">
        <v>44809</v>
      </c>
      <c r="C196" t="s">
        <v>749</v>
      </c>
      <c r="F196">
        <v>13</v>
      </c>
      <c r="H196" s="15"/>
    </row>
    <row r="197" spans="1:8" x14ac:dyDescent="0.3">
      <c r="A197" s="15">
        <v>44809</v>
      </c>
      <c r="C197" t="s">
        <v>280</v>
      </c>
      <c r="F197">
        <v>130</v>
      </c>
      <c r="G197" t="s">
        <v>750</v>
      </c>
      <c r="H197" s="15"/>
    </row>
    <row r="198" spans="1:8" x14ac:dyDescent="0.3">
      <c r="A198" s="15">
        <v>44811</v>
      </c>
      <c r="C198" t="s">
        <v>266</v>
      </c>
      <c r="F198">
        <v>318</v>
      </c>
      <c r="G198" t="s">
        <v>751</v>
      </c>
      <c r="H198" s="15"/>
    </row>
    <row r="199" spans="1:8" x14ac:dyDescent="0.3">
      <c r="A199" s="15">
        <v>44813</v>
      </c>
      <c r="C199" t="s">
        <v>276</v>
      </c>
      <c r="F199">
        <v>114</v>
      </c>
      <c r="G199" t="s">
        <v>752</v>
      </c>
      <c r="H199" s="15"/>
    </row>
    <row r="200" spans="1:8" x14ac:dyDescent="0.3">
      <c r="A200" s="15">
        <v>44813</v>
      </c>
      <c r="C200" t="s">
        <v>766</v>
      </c>
      <c r="F200">
        <v>49.5</v>
      </c>
      <c r="G200" t="s">
        <v>753</v>
      </c>
      <c r="H200" s="15"/>
    </row>
    <row r="201" spans="1:8" x14ac:dyDescent="0.3">
      <c r="A201" s="15">
        <v>44824</v>
      </c>
      <c r="C201" t="s">
        <v>756</v>
      </c>
      <c r="F201">
        <v>42.5</v>
      </c>
      <c r="H201" s="15"/>
    </row>
    <row r="202" spans="1:8" x14ac:dyDescent="0.3">
      <c r="A202" s="15">
        <v>44824</v>
      </c>
      <c r="C202" t="s">
        <v>433</v>
      </c>
      <c r="F202">
        <v>120</v>
      </c>
      <c r="H202" s="15"/>
    </row>
    <row r="203" spans="1:8" x14ac:dyDescent="0.3">
      <c r="A203" s="15">
        <v>44830</v>
      </c>
      <c r="C203" t="s">
        <v>268</v>
      </c>
      <c r="F203">
        <v>570</v>
      </c>
      <c r="G203" t="s">
        <v>935</v>
      </c>
      <c r="H203" s="15"/>
    </row>
    <row r="204" spans="1:8" x14ac:dyDescent="0.3">
      <c r="A204" s="15">
        <v>44831</v>
      </c>
      <c r="C204" t="s">
        <v>438</v>
      </c>
      <c r="F204">
        <v>67.5</v>
      </c>
      <c r="G204" t="s">
        <v>770</v>
      </c>
      <c r="H204" s="15"/>
    </row>
    <row r="205" spans="1:8" x14ac:dyDescent="0.3">
      <c r="A205" s="15">
        <v>44837</v>
      </c>
      <c r="C205" t="s">
        <v>437</v>
      </c>
      <c r="F205">
        <v>450</v>
      </c>
      <c r="H205" s="15"/>
    </row>
    <row r="206" spans="1:8" x14ac:dyDescent="0.3">
      <c r="A206" s="15">
        <v>44837</v>
      </c>
      <c r="C206" t="s">
        <v>436</v>
      </c>
      <c r="F206">
        <v>350</v>
      </c>
      <c r="H206" s="15"/>
    </row>
    <row r="207" spans="1:8" x14ac:dyDescent="0.3">
      <c r="A207" s="15">
        <v>44844</v>
      </c>
      <c r="C207" t="s">
        <v>279</v>
      </c>
      <c r="F207">
        <v>75</v>
      </c>
      <c r="G207" t="s">
        <v>834</v>
      </c>
      <c r="H207" s="15"/>
    </row>
    <row r="208" spans="1:8" x14ac:dyDescent="0.3">
      <c r="A208" s="15">
        <v>44845</v>
      </c>
      <c r="C208" t="s">
        <v>766</v>
      </c>
      <c r="F208">
        <v>2.5</v>
      </c>
      <c r="H208" s="15"/>
    </row>
    <row r="209" spans="1:8" x14ac:dyDescent="0.3">
      <c r="A209" s="15">
        <v>44847</v>
      </c>
      <c r="C209" t="s">
        <v>498</v>
      </c>
      <c r="F209">
        <v>120</v>
      </c>
      <c r="G209" t="s">
        <v>767</v>
      </c>
      <c r="H209" s="15"/>
    </row>
    <row r="210" spans="1:8" x14ac:dyDescent="0.3">
      <c r="A210" s="15">
        <v>44851</v>
      </c>
      <c r="C210" t="s">
        <v>771</v>
      </c>
      <c r="F210">
        <v>4.5</v>
      </c>
      <c r="H210" s="15"/>
    </row>
    <row r="211" spans="1:8" x14ac:dyDescent="0.3">
      <c r="A211" s="15">
        <v>44853</v>
      </c>
      <c r="C211" t="s">
        <v>440</v>
      </c>
      <c r="F211">
        <v>20</v>
      </c>
      <c r="H211" s="15"/>
    </row>
    <row r="212" spans="1:8" x14ac:dyDescent="0.3">
      <c r="A212" s="15">
        <v>44854</v>
      </c>
      <c r="C212" t="s">
        <v>775</v>
      </c>
      <c r="F212">
        <v>31</v>
      </c>
      <c r="G212" t="s">
        <v>664</v>
      </c>
      <c r="H212" s="15"/>
    </row>
    <row r="213" spans="1:8" x14ac:dyDescent="0.3">
      <c r="A213" s="15">
        <v>44868</v>
      </c>
      <c r="C213" t="s">
        <v>270</v>
      </c>
      <c r="F213">
        <v>200</v>
      </c>
    </row>
    <row r="214" spans="1:8" x14ac:dyDescent="0.3">
      <c r="A214" s="15">
        <v>44872</v>
      </c>
      <c r="C214" t="s">
        <v>220</v>
      </c>
      <c r="F214">
        <v>16</v>
      </c>
    </row>
    <row r="215" spans="1:8" x14ac:dyDescent="0.3">
      <c r="A215" s="15">
        <v>44875</v>
      </c>
      <c r="C215" t="s">
        <v>282</v>
      </c>
      <c r="F215">
        <v>495</v>
      </c>
    </row>
    <row r="216" spans="1:8" x14ac:dyDescent="0.3">
      <c r="A216" s="15">
        <v>44875</v>
      </c>
      <c r="C216" t="s">
        <v>429</v>
      </c>
      <c r="F216">
        <v>18</v>
      </c>
    </row>
    <row r="217" spans="1:8" x14ac:dyDescent="0.3">
      <c r="A217" s="15">
        <v>44880</v>
      </c>
      <c r="C217" t="s">
        <v>361</v>
      </c>
      <c r="F217">
        <v>349</v>
      </c>
    </row>
    <row r="218" spans="1:8" x14ac:dyDescent="0.3">
      <c r="A218" s="15">
        <v>44882</v>
      </c>
      <c r="C218" t="s">
        <v>601</v>
      </c>
      <c r="F218">
        <v>17</v>
      </c>
    </row>
    <row r="219" spans="1:8" x14ac:dyDescent="0.3">
      <c r="A219" s="15">
        <v>44895</v>
      </c>
      <c r="C219" t="s">
        <v>279</v>
      </c>
      <c r="F219">
        <v>67.5</v>
      </c>
    </row>
    <row r="220" spans="1:8" x14ac:dyDescent="0.3">
      <c r="A220" s="15">
        <v>44895</v>
      </c>
      <c r="C220" t="s">
        <v>756</v>
      </c>
      <c r="F220">
        <v>95</v>
      </c>
    </row>
    <row r="221" spans="1:8" x14ac:dyDescent="0.3">
      <c r="A221" s="15">
        <v>44897</v>
      </c>
      <c r="C221" t="s">
        <v>280</v>
      </c>
      <c r="F221">
        <v>270</v>
      </c>
    </row>
    <row r="222" spans="1:8" x14ac:dyDescent="0.3">
      <c r="A222" s="15">
        <v>44898</v>
      </c>
      <c r="C222" t="s">
        <v>266</v>
      </c>
      <c r="F222">
        <v>1590</v>
      </c>
    </row>
    <row r="223" spans="1:8" x14ac:dyDescent="0.3">
      <c r="A223" s="15">
        <v>44900</v>
      </c>
      <c r="C223" t="s">
        <v>771</v>
      </c>
      <c r="F223">
        <v>7</v>
      </c>
    </row>
    <row r="224" spans="1:8" x14ac:dyDescent="0.3">
      <c r="A224" s="15">
        <v>44903</v>
      </c>
      <c r="C224" t="s">
        <v>766</v>
      </c>
      <c r="F224">
        <v>66</v>
      </c>
    </row>
    <row r="225" spans="1:7" x14ac:dyDescent="0.3">
      <c r="A225" s="15">
        <v>44958</v>
      </c>
      <c r="C225" t="s">
        <v>270</v>
      </c>
      <c r="F225">
        <v>200</v>
      </c>
    </row>
    <row r="226" spans="1:7" x14ac:dyDescent="0.3">
      <c r="A226" s="15">
        <v>44960</v>
      </c>
      <c r="C226" t="s">
        <v>220</v>
      </c>
      <c r="F226">
        <v>150</v>
      </c>
    </row>
    <row r="227" spans="1:7" x14ac:dyDescent="0.3">
      <c r="A227" s="15">
        <v>44980</v>
      </c>
      <c r="C227" t="s">
        <v>274</v>
      </c>
      <c r="F227">
        <v>110</v>
      </c>
    </row>
    <row r="228" spans="1:7" x14ac:dyDescent="0.3">
      <c r="A228" s="15">
        <v>44981</v>
      </c>
      <c r="C228" t="s">
        <v>756</v>
      </c>
      <c r="F228">
        <v>95</v>
      </c>
    </row>
    <row r="229" spans="1:7" x14ac:dyDescent="0.3">
      <c r="A229" s="15">
        <v>44985</v>
      </c>
      <c r="C229" t="s">
        <v>266</v>
      </c>
      <c r="F229">
        <v>609</v>
      </c>
    </row>
    <row r="230" spans="1:7" x14ac:dyDescent="0.3">
      <c r="A230" s="15">
        <v>44985</v>
      </c>
      <c r="C230" t="s">
        <v>437</v>
      </c>
      <c r="F230">
        <v>450</v>
      </c>
    </row>
    <row r="231" spans="1:7" x14ac:dyDescent="0.3">
      <c r="A231" s="15">
        <v>44988</v>
      </c>
      <c r="C231" t="s">
        <v>384</v>
      </c>
      <c r="F231">
        <v>2778</v>
      </c>
      <c r="G231">
        <v>2.75</v>
      </c>
    </row>
    <row r="232" spans="1:7" x14ac:dyDescent="0.3">
      <c r="A232" s="15">
        <v>44988</v>
      </c>
      <c r="C232" t="s">
        <v>279</v>
      </c>
      <c r="F232">
        <v>150</v>
      </c>
    </row>
    <row r="233" spans="1:7" x14ac:dyDescent="0.3">
      <c r="A233" s="15">
        <v>44989</v>
      </c>
      <c r="C233" t="s">
        <v>280</v>
      </c>
      <c r="F233">
        <v>160</v>
      </c>
    </row>
    <row r="234" spans="1:7" x14ac:dyDescent="0.3">
      <c r="A234" s="15">
        <v>44995</v>
      </c>
      <c r="C234" t="s">
        <v>766</v>
      </c>
      <c r="F234">
        <v>77</v>
      </c>
    </row>
    <row r="235" spans="1:7" x14ac:dyDescent="0.3">
      <c r="A235" s="15">
        <v>45014</v>
      </c>
      <c r="C235" t="s">
        <v>276</v>
      </c>
      <c r="F235">
        <v>1368</v>
      </c>
    </row>
    <row r="236" spans="1:7" x14ac:dyDescent="0.3">
      <c r="A236" s="15">
        <v>45014</v>
      </c>
      <c r="C236" t="s">
        <v>775</v>
      </c>
      <c r="F236">
        <v>34</v>
      </c>
    </row>
    <row r="237" spans="1:7" x14ac:dyDescent="0.3">
      <c r="A237" s="15">
        <v>45055</v>
      </c>
      <c r="C237" t="s">
        <v>270</v>
      </c>
      <c r="F237" s="3">
        <v>360</v>
      </c>
    </row>
    <row r="238" spans="1:7" x14ac:dyDescent="0.3">
      <c r="A238" s="15">
        <v>45064</v>
      </c>
      <c r="C238" t="s">
        <v>361</v>
      </c>
      <c r="F238" s="3">
        <v>523.20000000000005</v>
      </c>
    </row>
    <row r="239" spans="1:7" x14ac:dyDescent="0.3">
      <c r="A239" s="15">
        <v>45077</v>
      </c>
      <c r="C239" t="s">
        <v>277</v>
      </c>
      <c r="F239" s="3">
        <v>185.5</v>
      </c>
    </row>
    <row r="240" spans="1:7" x14ac:dyDescent="0.3">
      <c r="A240" s="15">
        <v>45080</v>
      </c>
      <c r="C240" t="s">
        <v>426</v>
      </c>
      <c r="F240" s="3">
        <v>15.95</v>
      </c>
    </row>
    <row r="241" spans="1:8" x14ac:dyDescent="0.3">
      <c r="A241" s="15">
        <v>45085</v>
      </c>
      <c r="C241" t="s">
        <v>609</v>
      </c>
      <c r="F241" s="3">
        <v>8.4499999999999993</v>
      </c>
      <c r="G241" t="s">
        <v>960</v>
      </c>
    </row>
    <row r="242" spans="1:8" x14ac:dyDescent="0.3">
      <c r="A242" s="15">
        <v>45096</v>
      </c>
      <c r="C242" t="s">
        <v>440</v>
      </c>
      <c r="F242" s="3">
        <v>20</v>
      </c>
    </row>
    <row r="243" spans="1:8" x14ac:dyDescent="0.3">
      <c r="A243" s="15">
        <v>45106</v>
      </c>
      <c r="C243" t="s">
        <v>606</v>
      </c>
      <c r="F243" s="3">
        <v>192</v>
      </c>
    </row>
    <row r="244" spans="1:8" x14ac:dyDescent="0.3">
      <c r="A244" s="15">
        <v>45106</v>
      </c>
      <c r="C244" t="s">
        <v>601</v>
      </c>
      <c r="F244" s="3">
        <v>22</v>
      </c>
    </row>
    <row r="245" spans="1:8" x14ac:dyDescent="0.3">
      <c r="A245" s="15">
        <v>45107</v>
      </c>
      <c r="C245" t="s">
        <v>429</v>
      </c>
      <c r="F245" s="3">
        <v>85</v>
      </c>
    </row>
    <row r="246" spans="1:8" x14ac:dyDescent="0.3">
      <c r="A246" s="15">
        <v>45110</v>
      </c>
      <c r="C246" t="s">
        <v>282</v>
      </c>
      <c r="F246" s="3">
        <v>525</v>
      </c>
    </row>
    <row r="247" spans="1:8" x14ac:dyDescent="0.3">
      <c r="A247" s="15">
        <v>45110</v>
      </c>
      <c r="C247" t="s">
        <v>220</v>
      </c>
      <c r="F247" s="3">
        <v>48</v>
      </c>
    </row>
    <row r="248" spans="1:8" x14ac:dyDescent="0.3">
      <c r="A248" s="15">
        <v>45132</v>
      </c>
      <c r="C248" t="s">
        <v>283</v>
      </c>
      <c r="F248" s="3">
        <v>19</v>
      </c>
    </row>
    <row r="249" spans="1:8" x14ac:dyDescent="0.3">
      <c r="A249" s="15">
        <v>45139</v>
      </c>
      <c r="C249" t="s">
        <v>270</v>
      </c>
      <c r="F249" s="3">
        <v>200</v>
      </c>
    </row>
    <row r="250" spans="1:8" x14ac:dyDescent="0.3">
      <c r="A250" s="15">
        <v>45139</v>
      </c>
      <c r="C250" t="s">
        <v>703</v>
      </c>
      <c r="F250" s="3">
        <v>433.75</v>
      </c>
    </row>
    <row r="251" spans="1:8" x14ac:dyDescent="0.3">
      <c r="A251" s="15">
        <v>45145</v>
      </c>
      <c r="C251" t="s">
        <v>220</v>
      </c>
      <c r="F251" s="3">
        <v>18</v>
      </c>
    </row>
    <row r="252" spans="1:8" x14ac:dyDescent="0.3">
      <c r="A252" s="15">
        <v>45147</v>
      </c>
      <c r="C252" t="s">
        <v>902</v>
      </c>
      <c r="F252" s="3">
        <v>36</v>
      </c>
    </row>
    <row r="253" spans="1:8" x14ac:dyDescent="0.3">
      <c r="A253" s="15">
        <v>45152</v>
      </c>
      <c r="C253" t="s">
        <v>384</v>
      </c>
      <c r="F253" s="3">
        <v>4399</v>
      </c>
      <c r="G253">
        <v>9.5</v>
      </c>
      <c r="H253">
        <v>2894</v>
      </c>
    </row>
    <row r="254" spans="1:8" x14ac:dyDescent="0.3">
      <c r="A254" s="15">
        <v>45152</v>
      </c>
      <c r="C254" t="s">
        <v>497</v>
      </c>
      <c r="F254" s="3">
        <v>5.4</v>
      </c>
    </row>
    <row r="255" spans="1:8" x14ac:dyDescent="0.3">
      <c r="A255" s="15">
        <v>45155</v>
      </c>
      <c r="C255" t="s">
        <v>431</v>
      </c>
      <c r="F255" s="3">
        <v>110</v>
      </c>
    </row>
    <row r="256" spans="1:8" x14ac:dyDescent="0.3">
      <c r="A256" s="15">
        <v>45156</v>
      </c>
      <c r="C256" t="s">
        <v>712</v>
      </c>
      <c r="F256" s="3">
        <v>15</v>
      </c>
    </row>
    <row r="257" spans="1:8" x14ac:dyDescent="0.3">
      <c r="A257" s="15">
        <v>45163</v>
      </c>
      <c r="C257" t="s">
        <v>277</v>
      </c>
      <c r="F257" s="3">
        <v>159</v>
      </c>
    </row>
    <row r="258" spans="1:8" x14ac:dyDescent="0.3">
      <c r="A258" s="15">
        <v>45166</v>
      </c>
      <c r="C258" t="s">
        <v>427</v>
      </c>
      <c r="F258" s="3">
        <v>90</v>
      </c>
    </row>
    <row r="259" spans="1:8" x14ac:dyDescent="0.3">
      <c r="A259" s="15">
        <v>45167</v>
      </c>
      <c r="C259" t="s">
        <v>919</v>
      </c>
      <c r="F259" s="3">
        <v>50</v>
      </c>
    </row>
    <row r="260" spans="1:8" x14ac:dyDescent="0.3">
      <c r="A260" s="15">
        <v>45169</v>
      </c>
      <c r="C260" t="s">
        <v>749</v>
      </c>
      <c r="F260" s="3">
        <v>18.2</v>
      </c>
    </row>
    <row r="261" spans="1:8" x14ac:dyDescent="0.3">
      <c r="A261" s="15">
        <v>45170</v>
      </c>
      <c r="C261" t="s">
        <v>272</v>
      </c>
      <c r="F261" s="3">
        <v>88</v>
      </c>
    </row>
    <row r="262" spans="1:8" x14ac:dyDescent="0.3">
      <c r="A262" s="15">
        <v>45171</v>
      </c>
      <c r="C262" t="s">
        <v>278</v>
      </c>
      <c r="F262" s="3">
        <v>2475</v>
      </c>
      <c r="G262" t="s">
        <v>995</v>
      </c>
      <c r="H262">
        <v>3</v>
      </c>
    </row>
    <row r="263" spans="1:8" x14ac:dyDescent="0.3">
      <c r="A263" s="15">
        <v>45174</v>
      </c>
      <c r="C263" t="s">
        <v>268</v>
      </c>
      <c r="F263" s="3">
        <v>380</v>
      </c>
      <c r="G263" t="s">
        <v>934</v>
      </c>
    </row>
    <row r="264" spans="1:8" x14ac:dyDescent="0.3">
      <c r="A264" s="15">
        <v>45175</v>
      </c>
      <c r="C264" t="s">
        <v>436</v>
      </c>
      <c r="F264" s="3">
        <v>350</v>
      </c>
    </row>
    <row r="265" spans="1:8" x14ac:dyDescent="0.3">
      <c r="A265" s="15">
        <v>45175</v>
      </c>
      <c r="C265" t="s">
        <v>437</v>
      </c>
      <c r="F265" s="3">
        <v>450</v>
      </c>
    </row>
    <row r="266" spans="1:8" x14ac:dyDescent="0.3">
      <c r="A266" s="15">
        <v>45175</v>
      </c>
      <c r="C266" t="s">
        <v>920</v>
      </c>
      <c r="F266" s="3">
        <v>19.5</v>
      </c>
    </row>
    <row r="267" spans="1:8" x14ac:dyDescent="0.3">
      <c r="A267" s="15">
        <v>45177</v>
      </c>
      <c r="C267" t="s">
        <v>280</v>
      </c>
      <c r="F267" s="3">
        <v>20</v>
      </c>
    </row>
    <row r="268" spans="1:8" x14ac:dyDescent="0.3">
      <c r="A268" s="15">
        <v>45180</v>
      </c>
      <c r="C268" t="s">
        <v>434</v>
      </c>
      <c r="F268" s="3">
        <v>217.5</v>
      </c>
    </row>
    <row r="269" spans="1:8" x14ac:dyDescent="0.3">
      <c r="A269" s="15">
        <v>45180</v>
      </c>
      <c r="C269" t="s">
        <v>756</v>
      </c>
      <c r="F269" s="3">
        <v>90.25</v>
      </c>
    </row>
    <row r="270" spans="1:8" x14ac:dyDescent="0.3">
      <c r="A270" s="15">
        <v>45187</v>
      </c>
      <c r="C270" t="s">
        <v>266</v>
      </c>
      <c r="F270" s="3">
        <v>504</v>
      </c>
    </row>
    <row r="271" spans="1:8" x14ac:dyDescent="0.3">
      <c r="A271" s="15">
        <v>45188</v>
      </c>
      <c r="C271" t="s">
        <v>279</v>
      </c>
      <c r="F271" s="3">
        <v>82.5</v>
      </c>
    </row>
    <row r="272" spans="1:8" x14ac:dyDescent="0.3">
      <c r="A272" s="15">
        <v>45196</v>
      </c>
      <c r="C272" t="s">
        <v>766</v>
      </c>
      <c r="F272" s="3">
        <v>99</v>
      </c>
    </row>
    <row r="273" spans="1:8" x14ac:dyDescent="0.3">
      <c r="A273" s="15">
        <v>45198</v>
      </c>
      <c r="C273" t="s">
        <v>438</v>
      </c>
      <c r="F273" s="3">
        <v>67.5</v>
      </c>
    </row>
    <row r="274" spans="1:8" x14ac:dyDescent="0.3">
      <c r="A274" s="15">
        <v>45205</v>
      </c>
      <c r="C274" t="s">
        <v>440</v>
      </c>
      <c r="F274" s="3">
        <v>25</v>
      </c>
    </row>
    <row r="275" spans="1:8" x14ac:dyDescent="0.3">
      <c r="A275" s="15">
        <v>45219</v>
      </c>
      <c r="C275" t="s">
        <v>775</v>
      </c>
      <c r="F275" s="3">
        <v>33</v>
      </c>
    </row>
    <row r="276" spans="1:8" x14ac:dyDescent="0.3">
      <c r="A276" s="15">
        <v>45222</v>
      </c>
      <c r="C276" t="s">
        <v>771</v>
      </c>
      <c r="F276" s="3">
        <v>3</v>
      </c>
    </row>
    <row r="277" spans="1:8" x14ac:dyDescent="0.3">
      <c r="A277" s="15">
        <v>45230</v>
      </c>
      <c r="C277" t="s">
        <v>270</v>
      </c>
      <c r="F277" s="3">
        <v>240</v>
      </c>
    </row>
    <row r="278" spans="1:8" x14ac:dyDescent="0.3">
      <c r="A278" s="15">
        <v>45236</v>
      </c>
      <c r="C278" t="s">
        <v>282</v>
      </c>
      <c r="F278" s="3">
        <v>540</v>
      </c>
    </row>
    <row r="279" spans="1:8" x14ac:dyDescent="0.3">
      <c r="A279" s="15">
        <v>45237</v>
      </c>
      <c r="C279" t="s">
        <v>220</v>
      </c>
      <c r="F279" s="3">
        <v>18</v>
      </c>
    </row>
    <row r="280" spans="1:8" x14ac:dyDescent="0.3">
      <c r="A280" s="15">
        <v>45240</v>
      </c>
      <c r="C280" t="s">
        <v>361</v>
      </c>
      <c r="F280" s="3">
        <v>174.4</v>
      </c>
    </row>
    <row r="281" spans="1:8" x14ac:dyDescent="0.3">
      <c r="A281" s="15">
        <v>45243</v>
      </c>
      <c r="C281" t="s">
        <v>429</v>
      </c>
      <c r="F281" s="3">
        <v>21</v>
      </c>
    </row>
    <row r="282" spans="1:8" x14ac:dyDescent="0.3">
      <c r="A282" s="15">
        <v>45246</v>
      </c>
      <c r="C282" t="s">
        <v>601</v>
      </c>
      <c r="F282" s="3">
        <v>18</v>
      </c>
    </row>
    <row r="283" spans="1:8" x14ac:dyDescent="0.3">
      <c r="A283" s="15">
        <v>45254</v>
      </c>
      <c r="C283" t="s">
        <v>497</v>
      </c>
      <c r="F283" s="3">
        <v>5.5</v>
      </c>
    </row>
    <row r="284" spans="1:8" x14ac:dyDescent="0.3">
      <c r="A284" s="15">
        <v>45254</v>
      </c>
      <c r="C284" t="s">
        <v>278</v>
      </c>
      <c r="F284" s="3">
        <v>3465</v>
      </c>
      <c r="G284" t="s">
        <v>996</v>
      </c>
      <c r="H284">
        <v>5</v>
      </c>
    </row>
    <row r="285" spans="1:8" x14ac:dyDescent="0.3">
      <c r="A285" s="15">
        <v>45254</v>
      </c>
      <c r="C285" t="s">
        <v>771</v>
      </c>
      <c r="F285" s="3">
        <v>7</v>
      </c>
    </row>
    <row r="286" spans="1:8" x14ac:dyDescent="0.3">
      <c r="A286" s="15">
        <v>45260</v>
      </c>
      <c r="C286" t="s">
        <v>280</v>
      </c>
      <c r="F286" s="3">
        <v>230</v>
      </c>
    </row>
    <row r="287" spans="1:8" x14ac:dyDescent="0.3">
      <c r="A287" s="15">
        <v>45260</v>
      </c>
      <c r="C287" t="s">
        <v>279</v>
      </c>
      <c r="F287" s="3">
        <v>52.5</v>
      </c>
    </row>
    <row r="288" spans="1:8" x14ac:dyDescent="0.3">
      <c r="A288" s="15">
        <v>45264</v>
      </c>
      <c r="C288" t="s">
        <v>449</v>
      </c>
      <c r="F288" s="3">
        <v>344</v>
      </c>
    </row>
    <row r="289" spans="1:8" x14ac:dyDescent="0.3">
      <c r="A289" s="15">
        <v>45266</v>
      </c>
      <c r="C289" t="s">
        <v>756</v>
      </c>
      <c r="F289" s="3">
        <v>96</v>
      </c>
    </row>
    <row r="290" spans="1:8" x14ac:dyDescent="0.3">
      <c r="A290" s="15">
        <v>45267</v>
      </c>
      <c r="C290" t="s">
        <v>266</v>
      </c>
      <c r="F290" s="3">
        <v>1922</v>
      </c>
    </row>
    <row r="291" spans="1:8" x14ac:dyDescent="0.3">
      <c r="A291" s="15">
        <v>45267</v>
      </c>
      <c r="C291" t="s">
        <v>766</v>
      </c>
      <c r="F291" s="3">
        <v>121.5</v>
      </c>
    </row>
    <row r="292" spans="1:8" x14ac:dyDescent="0.3">
      <c r="A292" s="15">
        <v>45282</v>
      </c>
      <c r="C292" t="s">
        <v>268</v>
      </c>
      <c r="F292" s="3">
        <v>1995</v>
      </c>
      <c r="G292" t="s">
        <v>933</v>
      </c>
    </row>
    <row r="293" spans="1:8" x14ac:dyDescent="0.3">
      <c r="A293" s="15">
        <v>45322</v>
      </c>
      <c r="C293" t="s">
        <v>270</v>
      </c>
      <c r="F293" s="3">
        <v>240</v>
      </c>
    </row>
    <row r="294" spans="1:8" x14ac:dyDescent="0.3">
      <c r="A294" s="15">
        <v>45327</v>
      </c>
      <c r="C294" t="s">
        <v>220</v>
      </c>
      <c r="F294" s="3">
        <v>54</v>
      </c>
    </row>
    <row r="295" spans="1:8" x14ac:dyDescent="0.3">
      <c r="A295" s="15">
        <v>45338</v>
      </c>
      <c r="C295" t="s">
        <v>269</v>
      </c>
      <c r="F295" s="3">
        <v>1215</v>
      </c>
      <c r="H295">
        <v>15</v>
      </c>
    </row>
    <row r="296" spans="1:8" x14ac:dyDescent="0.3">
      <c r="A296" s="15">
        <v>45338</v>
      </c>
      <c r="C296" t="s">
        <v>276</v>
      </c>
      <c r="F296" s="3">
        <v>1881</v>
      </c>
    </row>
    <row r="297" spans="1:8" x14ac:dyDescent="0.3">
      <c r="A297" s="15">
        <v>45349</v>
      </c>
      <c r="C297" t="s">
        <v>280</v>
      </c>
      <c r="F297" s="3">
        <v>160</v>
      </c>
    </row>
    <row r="298" spans="1:8" x14ac:dyDescent="0.3">
      <c r="A298" s="15">
        <v>45349</v>
      </c>
      <c r="C298" t="s">
        <v>437</v>
      </c>
      <c r="F298" s="3">
        <v>450</v>
      </c>
    </row>
    <row r="299" spans="1:8" x14ac:dyDescent="0.3">
      <c r="A299" s="15">
        <v>45349</v>
      </c>
      <c r="C299" t="s">
        <v>384</v>
      </c>
      <c r="F299" s="3">
        <v>2164</v>
      </c>
    </row>
    <row r="300" spans="1:8" x14ac:dyDescent="0.3">
      <c r="A300" s="15">
        <v>45351</v>
      </c>
      <c r="C300" t="s">
        <v>766</v>
      </c>
      <c r="F300" s="3">
        <v>94.5</v>
      </c>
    </row>
    <row r="301" spans="1:8" x14ac:dyDescent="0.3">
      <c r="A301" s="15">
        <v>45356</v>
      </c>
      <c r="C301" t="s">
        <v>756</v>
      </c>
      <c r="F301" s="3">
        <v>108</v>
      </c>
    </row>
    <row r="302" spans="1:8" x14ac:dyDescent="0.3">
      <c r="A302" s="15">
        <v>45357</v>
      </c>
      <c r="C302" t="s">
        <v>266</v>
      </c>
      <c r="F302" s="3">
        <v>662</v>
      </c>
    </row>
    <row r="303" spans="1:8" x14ac:dyDescent="0.3">
      <c r="A303" s="15">
        <v>45378</v>
      </c>
      <c r="C303" t="s">
        <v>279</v>
      </c>
      <c r="F303" s="3">
        <v>127.5</v>
      </c>
      <c r="G303" t="s">
        <v>951</v>
      </c>
    </row>
    <row r="304" spans="1:8" x14ac:dyDescent="0.3">
      <c r="A304" s="15">
        <v>45379</v>
      </c>
      <c r="C304" t="s">
        <v>775</v>
      </c>
      <c r="F304" s="3">
        <v>28</v>
      </c>
    </row>
    <row r="305" spans="1:9" x14ac:dyDescent="0.3">
      <c r="A305" s="15">
        <v>45381</v>
      </c>
      <c r="C305" t="s">
        <v>766</v>
      </c>
      <c r="F305" s="3">
        <v>81</v>
      </c>
      <c r="I305">
        <f>SUM(F2:F305)</f>
        <v>76279.75</v>
      </c>
    </row>
    <row r="306" spans="1:9" x14ac:dyDescent="0.3">
      <c r="A306" s="15">
        <v>45405</v>
      </c>
      <c r="C306" t="s">
        <v>277</v>
      </c>
      <c r="F306" s="174">
        <v>238.5</v>
      </c>
    </row>
    <row r="307" spans="1:9" x14ac:dyDescent="0.3">
      <c r="A307" s="15">
        <v>45415</v>
      </c>
      <c r="C307" t="s">
        <v>956</v>
      </c>
      <c r="F307" s="174">
        <v>2360</v>
      </c>
      <c r="G307" t="s">
        <v>963</v>
      </c>
    </row>
    <row r="308" spans="1:9" x14ac:dyDescent="0.3">
      <c r="A308" s="15">
        <v>45427</v>
      </c>
      <c r="C308" t="s">
        <v>270</v>
      </c>
      <c r="F308" s="174">
        <v>360</v>
      </c>
    </row>
    <row r="309" spans="1:9" x14ac:dyDescent="0.3">
      <c r="A309" s="15">
        <v>45429</v>
      </c>
      <c r="C309" t="s">
        <v>361</v>
      </c>
      <c r="F309" s="174">
        <v>174.4</v>
      </c>
    </row>
    <row r="310" spans="1:9" x14ac:dyDescent="0.3">
      <c r="A310" s="15">
        <v>45446</v>
      </c>
      <c r="C310" t="s">
        <v>426</v>
      </c>
      <c r="F310" s="174">
        <v>15.95</v>
      </c>
    </row>
    <row r="311" spans="1:9" x14ac:dyDescent="0.3">
      <c r="A311" s="15">
        <v>45446</v>
      </c>
      <c r="C311" t="s">
        <v>426</v>
      </c>
      <c r="F311" s="174">
        <v>290</v>
      </c>
    </row>
    <row r="312" spans="1:9" x14ac:dyDescent="0.3">
      <c r="A312" s="15">
        <v>45447</v>
      </c>
      <c r="C312" t="s">
        <v>220</v>
      </c>
      <c r="F312" s="174">
        <v>56</v>
      </c>
    </row>
    <row r="313" spans="1:9" x14ac:dyDescent="0.3">
      <c r="A313" s="15">
        <v>45454</v>
      </c>
      <c r="C313" t="s">
        <v>440</v>
      </c>
      <c r="F313" s="174">
        <v>25</v>
      </c>
    </row>
    <row r="314" spans="1:9" x14ac:dyDescent="0.3">
      <c r="A314" s="15">
        <v>45461</v>
      </c>
      <c r="C314" t="s">
        <v>609</v>
      </c>
      <c r="F314" s="174">
        <v>7.75</v>
      </c>
      <c r="I314">
        <f>SUBTOTAL(9,F200:F305)</f>
        <v>40231.600000000006</v>
      </c>
    </row>
    <row r="315" spans="1:9" x14ac:dyDescent="0.3">
      <c r="A315" s="15">
        <v>45468</v>
      </c>
      <c r="C315" t="s">
        <v>601</v>
      </c>
      <c r="F315" s="174">
        <v>24</v>
      </c>
      <c r="I315">
        <f>I314/22</f>
        <v>1828.7090909090912</v>
      </c>
    </row>
    <row r="316" spans="1:9" x14ac:dyDescent="0.3">
      <c r="A316" s="15">
        <v>45470</v>
      </c>
      <c r="C316" t="s">
        <v>429</v>
      </c>
      <c r="F316" s="174">
        <v>113</v>
      </c>
    </row>
    <row r="317" spans="1:9" x14ac:dyDescent="0.3">
      <c r="A317" s="15">
        <v>45474</v>
      </c>
      <c r="C317" t="s">
        <v>282</v>
      </c>
      <c r="F317" s="174">
        <f>30*28</f>
        <v>840</v>
      </c>
    </row>
    <row r="318" spans="1:9" x14ac:dyDescent="0.3">
      <c r="A318" s="15">
        <v>45483</v>
      </c>
      <c r="C318" t="s">
        <v>606</v>
      </c>
      <c r="F318" s="174">
        <v>112</v>
      </c>
    </row>
    <row r="319" spans="1:9" x14ac:dyDescent="0.3">
      <c r="A319" s="15">
        <v>45491</v>
      </c>
      <c r="C319" t="s">
        <v>283</v>
      </c>
      <c r="F319" s="174">
        <v>20</v>
      </c>
    </row>
    <row r="320" spans="1:9" x14ac:dyDescent="0.3">
      <c r="A320" s="15">
        <v>45496</v>
      </c>
      <c r="C320" t="s">
        <v>274</v>
      </c>
      <c r="F320" s="174">
        <v>10</v>
      </c>
      <c r="G320" t="s">
        <v>998</v>
      </c>
    </row>
    <row r="321" spans="1:8" x14ac:dyDescent="0.3">
      <c r="A321" s="15">
        <v>45497</v>
      </c>
      <c r="C321" t="s">
        <v>902</v>
      </c>
      <c r="F321" s="174">
        <v>48</v>
      </c>
      <c r="G321" t="s">
        <v>997</v>
      </c>
    </row>
    <row r="322" spans="1:8" x14ac:dyDescent="0.3">
      <c r="A322" s="15">
        <v>45503</v>
      </c>
      <c r="C322" t="s">
        <v>384</v>
      </c>
      <c r="F322" s="174">
        <v>3848</v>
      </c>
      <c r="G322" t="s">
        <v>999</v>
      </c>
    </row>
    <row r="323" spans="1:8" x14ac:dyDescent="0.3">
      <c r="A323" s="15">
        <v>45504</v>
      </c>
      <c r="C323" t="s">
        <v>703</v>
      </c>
      <c r="F323" s="174">
        <v>433.75</v>
      </c>
    </row>
    <row r="324" spans="1:8" x14ac:dyDescent="0.3">
      <c r="A324" s="15">
        <v>45505</v>
      </c>
      <c r="C324" t="s">
        <v>270</v>
      </c>
      <c r="F324" s="174">
        <v>240</v>
      </c>
    </row>
    <row r="325" spans="1:8" x14ac:dyDescent="0.3">
      <c r="A325" s="15">
        <v>45509</v>
      </c>
      <c r="C325" t="s">
        <v>220</v>
      </c>
      <c r="F325" s="174">
        <v>20</v>
      </c>
    </row>
    <row r="326" spans="1:8" x14ac:dyDescent="0.3">
      <c r="A326" s="15">
        <v>45512</v>
      </c>
      <c r="C326" t="s">
        <v>449</v>
      </c>
      <c r="F326" s="174">
        <v>530</v>
      </c>
    </row>
    <row r="327" spans="1:8" x14ac:dyDescent="0.3">
      <c r="A327" s="15">
        <v>45516</v>
      </c>
      <c r="C327" t="s">
        <v>497</v>
      </c>
      <c r="F327" s="174">
        <v>5.5</v>
      </c>
    </row>
    <row r="328" spans="1:8" x14ac:dyDescent="0.3">
      <c r="A328" s="15">
        <v>45518</v>
      </c>
      <c r="C328" t="s">
        <v>712</v>
      </c>
      <c r="F328" s="174">
        <v>5</v>
      </c>
    </row>
    <row r="329" spans="1:8" x14ac:dyDescent="0.3">
      <c r="A329" s="15">
        <v>45518</v>
      </c>
      <c r="C329" t="s">
        <v>431</v>
      </c>
      <c r="F329" s="174">
        <v>160</v>
      </c>
    </row>
    <row r="330" spans="1:8" x14ac:dyDescent="0.3">
      <c r="A330" s="15">
        <v>45530</v>
      </c>
      <c r="C330" t="s">
        <v>277</v>
      </c>
      <c r="F330" s="174">
        <v>185.5</v>
      </c>
    </row>
    <row r="331" spans="1:8" x14ac:dyDescent="0.3">
      <c r="A331" s="15">
        <v>45531</v>
      </c>
      <c r="C331" t="s">
        <v>269</v>
      </c>
      <c r="F331" s="174">
        <v>1320</v>
      </c>
      <c r="G331" t="s">
        <v>1008</v>
      </c>
      <c r="H331">
        <v>11</v>
      </c>
    </row>
    <row r="332" spans="1:8" x14ac:dyDescent="0.3">
      <c r="A332" s="15">
        <v>45532</v>
      </c>
      <c r="C332" t="s">
        <v>278</v>
      </c>
      <c r="F332" s="174">
        <v>5197</v>
      </c>
      <c r="H332">
        <v>7</v>
      </c>
    </row>
    <row r="333" spans="1:8" x14ac:dyDescent="0.3">
      <c r="A333" s="15">
        <v>45533</v>
      </c>
      <c r="C333" t="s">
        <v>427</v>
      </c>
      <c r="F333" s="174">
        <v>100</v>
      </c>
    </row>
    <row r="334" spans="1:8" x14ac:dyDescent="0.3">
      <c r="A334" s="15">
        <v>45534</v>
      </c>
      <c r="C334" t="s">
        <v>268</v>
      </c>
      <c r="F334" s="174">
        <v>1995</v>
      </c>
      <c r="G334" t="s">
        <v>1009</v>
      </c>
    </row>
    <row r="335" spans="1:8" x14ac:dyDescent="0.3">
      <c r="A335" s="15">
        <v>45537</v>
      </c>
      <c r="C335" t="s">
        <v>272</v>
      </c>
      <c r="F335" s="174">
        <v>110</v>
      </c>
    </row>
    <row r="336" spans="1:8" x14ac:dyDescent="0.3">
      <c r="A336" s="15">
        <v>45537</v>
      </c>
      <c r="C336" t="s">
        <v>749</v>
      </c>
      <c r="F336" s="174">
        <v>22.4</v>
      </c>
    </row>
    <row r="337" spans="1:7" x14ac:dyDescent="0.3">
      <c r="A337" s="15">
        <v>45540</v>
      </c>
      <c r="C337" t="s">
        <v>766</v>
      </c>
      <c r="F337" s="174">
        <v>87.5</v>
      </c>
      <c r="G337" t="s">
        <v>1015</v>
      </c>
    </row>
    <row r="338" spans="1:7" x14ac:dyDescent="0.3">
      <c r="A338" s="15">
        <v>45540</v>
      </c>
      <c r="C338" t="s">
        <v>436</v>
      </c>
      <c r="F338" s="174">
        <v>350</v>
      </c>
    </row>
    <row r="339" spans="1:7" x14ac:dyDescent="0.3">
      <c r="A339" s="15">
        <v>45540</v>
      </c>
      <c r="C339" t="s">
        <v>437</v>
      </c>
      <c r="F339" s="174">
        <v>450</v>
      </c>
    </row>
    <row r="340" spans="1:7" x14ac:dyDescent="0.3">
      <c r="A340" s="15">
        <v>45541</v>
      </c>
      <c r="C340" t="s">
        <v>920</v>
      </c>
      <c r="F340" s="174">
        <v>24</v>
      </c>
    </row>
    <row r="341" spans="1:7" x14ac:dyDescent="0.3">
      <c r="A341" s="15">
        <v>45545</v>
      </c>
      <c r="C341" t="s">
        <v>956</v>
      </c>
      <c r="F341" s="174">
        <v>40</v>
      </c>
    </row>
    <row r="342" spans="1:7" x14ac:dyDescent="0.3">
      <c r="A342" s="15">
        <v>45545</v>
      </c>
      <c r="C342" t="s">
        <v>266</v>
      </c>
      <c r="F342" s="174">
        <v>630</v>
      </c>
      <c r="G342" t="s">
        <v>1014</v>
      </c>
    </row>
    <row r="343" spans="1:7" x14ac:dyDescent="0.3">
      <c r="A343" s="15">
        <v>45546</v>
      </c>
      <c r="C343" t="s">
        <v>756</v>
      </c>
      <c r="F343" s="174">
        <v>66</v>
      </c>
    </row>
    <row r="344" spans="1:7" x14ac:dyDescent="0.3">
      <c r="A344" s="15">
        <v>45548</v>
      </c>
      <c r="C344" t="s">
        <v>766</v>
      </c>
      <c r="F344" s="174">
        <v>67.5</v>
      </c>
      <c r="G344" t="s">
        <v>1016</v>
      </c>
    </row>
    <row r="345" spans="1:7" x14ac:dyDescent="0.3">
      <c r="A345" s="15">
        <v>45553</v>
      </c>
      <c r="C345" t="s">
        <v>280</v>
      </c>
      <c r="F345" s="174">
        <v>100</v>
      </c>
    </row>
    <row r="346" spans="1:7" x14ac:dyDescent="0.3">
      <c r="A346" s="15">
        <v>45566</v>
      </c>
      <c r="C346" t="s">
        <v>438</v>
      </c>
      <c r="F346" s="174">
        <v>45</v>
      </c>
    </row>
    <row r="347" spans="1:7" x14ac:dyDescent="0.3">
      <c r="A347" s="15">
        <v>45568</v>
      </c>
      <c r="C347" t="s">
        <v>771</v>
      </c>
      <c r="F347" s="174">
        <v>3</v>
      </c>
    </row>
    <row r="348" spans="1:7" x14ac:dyDescent="0.3">
      <c r="A348" s="15">
        <v>45568</v>
      </c>
      <c r="C348" t="s">
        <v>279</v>
      </c>
      <c r="F348" s="174">
        <v>52.5</v>
      </c>
    </row>
    <row r="349" spans="1:7" x14ac:dyDescent="0.3">
      <c r="A349" s="15">
        <v>45572</v>
      </c>
      <c r="C349" t="s">
        <v>434</v>
      </c>
      <c r="F349" s="174">
        <v>362.5</v>
      </c>
    </row>
    <row r="350" spans="1:7" x14ac:dyDescent="0.3">
      <c r="A350" s="15">
        <v>45582</v>
      </c>
      <c r="C350" t="s">
        <v>440</v>
      </c>
      <c r="F350" s="174">
        <v>25</v>
      </c>
    </row>
    <row r="351" spans="1:7" x14ac:dyDescent="0.3">
      <c r="A351" s="15">
        <v>45595</v>
      </c>
      <c r="C351" t="s">
        <v>270</v>
      </c>
      <c r="F351" s="174">
        <v>240</v>
      </c>
    </row>
    <row r="352" spans="1:7" x14ac:dyDescent="0.3">
      <c r="A352" s="15">
        <v>45601</v>
      </c>
      <c r="C352" t="s">
        <v>220</v>
      </c>
      <c r="F352" s="174">
        <v>20</v>
      </c>
    </row>
    <row r="353" spans="1:7" x14ac:dyDescent="0.3">
      <c r="A353" s="15">
        <v>45604</v>
      </c>
      <c r="C353" t="s">
        <v>282</v>
      </c>
      <c r="F353" s="174">
        <v>630</v>
      </c>
    </row>
    <row r="354" spans="1:7" x14ac:dyDescent="0.3">
      <c r="A354" s="15">
        <v>45610</v>
      </c>
      <c r="C354" t="s">
        <v>361</v>
      </c>
      <c r="F354" s="174">
        <v>174.4</v>
      </c>
    </row>
    <row r="355" spans="1:7" x14ac:dyDescent="0.3">
      <c r="A355" s="15">
        <v>45614</v>
      </c>
      <c r="C355" t="s">
        <v>771</v>
      </c>
      <c r="F355" s="174">
        <v>7</v>
      </c>
    </row>
    <row r="356" spans="1:7" x14ac:dyDescent="0.3">
      <c r="A356" s="15">
        <v>45617</v>
      </c>
      <c r="C356" t="s">
        <v>266</v>
      </c>
      <c r="F356" s="174">
        <v>1985</v>
      </c>
    </row>
    <row r="357" spans="1:7" x14ac:dyDescent="0.3">
      <c r="A357" s="15">
        <v>45617</v>
      </c>
      <c r="C357" t="s">
        <v>601</v>
      </c>
      <c r="F357" s="174">
        <v>29</v>
      </c>
    </row>
    <row r="358" spans="1:7" x14ac:dyDescent="0.3">
      <c r="A358" s="15">
        <v>45618</v>
      </c>
      <c r="C358" t="s">
        <v>497</v>
      </c>
      <c r="F358" s="174">
        <v>5.5</v>
      </c>
    </row>
    <row r="359" spans="1:7" x14ac:dyDescent="0.3">
      <c r="A359" s="15">
        <v>45623</v>
      </c>
      <c r="C359" t="s">
        <v>279</v>
      </c>
      <c r="F359" s="174">
        <v>63</v>
      </c>
      <c r="G359" t="s">
        <v>1030</v>
      </c>
    </row>
    <row r="360" spans="1:7" x14ac:dyDescent="0.3">
      <c r="A360" s="15">
        <v>45624</v>
      </c>
      <c r="C360" t="s">
        <v>345</v>
      </c>
      <c r="F360" s="174">
        <v>100</v>
      </c>
    </row>
    <row r="361" spans="1:7" x14ac:dyDescent="0.3">
      <c r="A361" s="15">
        <v>45624</v>
      </c>
      <c r="C361" t="s">
        <v>429</v>
      </c>
      <c r="F361" s="174">
        <v>17</v>
      </c>
    </row>
    <row r="362" spans="1:7" x14ac:dyDescent="0.3">
      <c r="A362" s="15">
        <v>45625</v>
      </c>
      <c r="C362" t="s">
        <v>280</v>
      </c>
      <c r="F362" s="174">
        <v>240</v>
      </c>
      <c r="G362" t="s">
        <v>1031</v>
      </c>
    </row>
    <row r="363" spans="1:7" x14ac:dyDescent="0.3">
      <c r="A363" s="15">
        <v>45630</v>
      </c>
      <c r="C363" t="s">
        <v>756</v>
      </c>
      <c r="F363" s="174">
        <v>108</v>
      </c>
    </row>
    <row r="364" spans="1:7" x14ac:dyDescent="0.3">
      <c r="A364" s="15">
        <v>45634</v>
      </c>
      <c r="C364" t="s">
        <v>766</v>
      </c>
      <c r="F364" s="174">
        <v>94.5</v>
      </c>
      <c r="G364" t="s">
        <v>1044</v>
      </c>
    </row>
    <row r="365" spans="1:7" x14ac:dyDescent="0.3">
      <c r="A365" s="15">
        <v>45681</v>
      </c>
      <c r="C365" t="s">
        <v>270</v>
      </c>
      <c r="F365" s="174">
        <v>360</v>
      </c>
      <c r="G365" t="s">
        <v>1039</v>
      </c>
    </row>
    <row r="366" spans="1:7" x14ac:dyDescent="0.3">
      <c r="A366" s="15">
        <v>45691</v>
      </c>
      <c r="C366" t="s">
        <v>220</v>
      </c>
      <c r="F366" s="174">
        <v>152</v>
      </c>
    </row>
    <row r="367" spans="1:7" x14ac:dyDescent="0.3">
      <c r="A367" s="15">
        <v>45698</v>
      </c>
      <c r="C367" t="s">
        <v>1027</v>
      </c>
      <c r="F367" s="174">
        <v>420</v>
      </c>
    </row>
    <row r="368" spans="1:7" x14ac:dyDescent="0.3">
      <c r="A368" s="15">
        <v>45702</v>
      </c>
      <c r="C368" t="s">
        <v>268</v>
      </c>
      <c r="F368" s="174">
        <v>950</v>
      </c>
    </row>
    <row r="369" spans="1:7" x14ac:dyDescent="0.3">
      <c r="A369" s="15">
        <v>45703</v>
      </c>
      <c r="C369" t="s">
        <v>276</v>
      </c>
      <c r="F369" s="174">
        <v>2223</v>
      </c>
      <c r="G369" t="s">
        <v>1041</v>
      </c>
    </row>
    <row r="370" spans="1:7" x14ac:dyDescent="0.3">
      <c r="A370" s="15">
        <v>45706</v>
      </c>
      <c r="C370" t="s">
        <v>266</v>
      </c>
      <c r="F370" s="174">
        <v>706</v>
      </c>
    </row>
    <row r="371" spans="1:7" x14ac:dyDescent="0.3">
      <c r="A371" s="15">
        <v>45707</v>
      </c>
      <c r="C371" t="s">
        <v>280</v>
      </c>
      <c r="F371" s="174">
        <v>200</v>
      </c>
      <c r="G371" t="s">
        <v>564</v>
      </c>
    </row>
    <row r="372" spans="1:7" x14ac:dyDescent="0.3">
      <c r="A372" s="15">
        <v>45712</v>
      </c>
      <c r="C372" t="s">
        <v>437</v>
      </c>
      <c r="F372" s="174">
        <v>450</v>
      </c>
    </row>
    <row r="373" spans="1:7" x14ac:dyDescent="0.3">
      <c r="A373" s="15">
        <v>45715</v>
      </c>
      <c r="C373" t="s">
        <v>956</v>
      </c>
      <c r="F373" s="174">
        <v>80</v>
      </c>
      <c r="G373" t="s">
        <v>647</v>
      </c>
    </row>
    <row r="374" spans="1:7" x14ac:dyDescent="0.3">
      <c r="A374" s="15">
        <v>45716</v>
      </c>
      <c r="C374" t="s">
        <v>756</v>
      </c>
      <c r="F374" s="174">
        <v>78</v>
      </c>
      <c r="G374" t="s">
        <v>1042</v>
      </c>
    </row>
    <row r="375" spans="1:7" x14ac:dyDescent="0.3">
      <c r="A375" s="15">
        <v>45716</v>
      </c>
      <c r="C375" t="s">
        <v>279</v>
      </c>
      <c r="F375" s="174">
        <v>147</v>
      </c>
      <c r="G375" t="s">
        <v>1043</v>
      </c>
    </row>
    <row r="376" spans="1:7" x14ac:dyDescent="0.3">
      <c r="A376" s="15">
        <v>45723</v>
      </c>
      <c r="C376" t="s">
        <v>384</v>
      </c>
      <c r="F376" s="174">
        <v>2616</v>
      </c>
    </row>
    <row r="377" spans="1:7" x14ac:dyDescent="0.3">
      <c r="A377" s="15">
        <v>45727</v>
      </c>
      <c r="C377" t="s">
        <v>766</v>
      </c>
      <c r="F377" s="174">
        <v>94.5</v>
      </c>
      <c r="G377" t="s">
        <v>1044</v>
      </c>
    </row>
    <row r="378" spans="1:7" x14ac:dyDescent="0.3">
      <c r="A378" s="15">
        <v>45745</v>
      </c>
      <c r="C378" t="s">
        <v>766</v>
      </c>
      <c r="F378" s="174">
        <v>94.5</v>
      </c>
      <c r="G378" t="s">
        <v>1044</v>
      </c>
    </row>
    <row r="379" spans="1:7" x14ac:dyDescent="0.3">
      <c r="A379" s="15">
        <v>45745</v>
      </c>
      <c r="C379" t="s">
        <v>775</v>
      </c>
      <c r="F379" s="174">
        <v>15</v>
      </c>
      <c r="G379" t="s">
        <v>1045</v>
      </c>
    </row>
    <row r="380" spans="1:7" x14ac:dyDescent="0.3">
      <c r="A380" s="15">
        <v>45762</v>
      </c>
      <c r="C380" t="s">
        <v>749</v>
      </c>
      <c r="F380" s="175">
        <v>14</v>
      </c>
    </row>
    <row r="381" spans="1:7" x14ac:dyDescent="0.3">
      <c r="A381" s="15">
        <v>45763</v>
      </c>
      <c r="C381" t="s">
        <v>284</v>
      </c>
      <c r="F381" s="175">
        <v>15</v>
      </c>
    </row>
    <row r="382" spans="1:7" x14ac:dyDescent="0.3">
      <c r="A382" s="15">
        <v>45764</v>
      </c>
      <c r="C382" t="s">
        <v>1046</v>
      </c>
      <c r="F382" s="175">
        <v>48.86</v>
      </c>
    </row>
    <row r="383" spans="1:7" x14ac:dyDescent="0.3">
      <c r="A383" s="15">
        <v>45764</v>
      </c>
      <c r="C383" t="s">
        <v>277</v>
      </c>
      <c r="F383" s="175">
        <v>503.5</v>
      </c>
    </row>
    <row r="384" spans="1:7" x14ac:dyDescent="0.3">
      <c r="A384" s="15">
        <v>45768</v>
      </c>
      <c r="C384" t="s">
        <v>449</v>
      </c>
      <c r="F384" s="175">
        <v>592</v>
      </c>
    </row>
    <row r="385" spans="1:7" x14ac:dyDescent="0.3">
      <c r="A385" s="15">
        <v>45783</v>
      </c>
      <c r="C385" t="s">
        <v>270</v>
      </c>
      <c r="F385" s="175">
        <v>360</v>
      </c>
    </row>
    <row r="386" spans="1:7" x14ac:dyDescent="0.3">
      <c r="A386" s="15">
        <v>45797</v>
      </c>
      <c r="C386" t="s">
        <v>361</v>
      </c>
      <c r="F386" s="175">
        <v>348.8</v>
      </c>
    </row>
    <row r="387" spans="1:7" x14ac:dyDescent="0.3">
      <c r="A387" s="15">
        <v>45817</v>
      </c>
      <c r="C387" t="s">
        <v>440</v>
      </c>
      <c r="F387" s="175">
        <v>30</v>
      </c>
    </row>
    <row r="388" spans="1:7" x14ac:dyDescent="0.3">
      <c r="A388" s="15">
        <v>45829</v>
      </c>
      <c r="C388" t="s">
        <v>609</v>
      </c>
      <c r="F388" s="175">
        <v>8.25</v>
      </c>
    </row>
    <row r="389" spans="1:7" x14ac:dyDescent="0.3">
      <c r="A389" s="15">
        <v>45832</v>
      </c>
      <c r="C389" t="s">
        <v>220</v>
      </c>
      <c r="F389" s="175">
        <v>60</v>
      </c>
    </row>
    <row r="390" spans="1:7" x14ac:dyDescent="0.3">
      <c r="A390" s="15">
        <v>45838</v>
      </c>
      <c r="C390" t="s">
        <v>282</v>
      </c>
      <c r="F390" s="175">
        <v>660</v>
      </c>
    </row>
    <row r="391" spans="1:7" x14ac:dyDescent="0.3">
      <c r="A391" s="15">
        <v>45838</v>
      </c>
      <c r="C391" t="s">
        <v>429</v>
      </c>
      <c r="F391" s="175">
        <v>83</v>
      </c>
    </row>
    <row r="392" spans="1:7" x14ac:dyDescent="0.3">
      <c r="A392" s="15">
        <v>45840</v>
      </c>
      <c r="C392" t="s">
        <v>606</v>
      </c>
      <c r="F392" s="175">
        <v>108</v>
      </c>
    </row>
    <row r="393" spans="1:7" x14ac:dyDescent="0.3">
      <c r="A393" s="15">
        <v>45842</v>
      </c>
      <c r="C393" t="s">
        <v>601</v>
      </c>
      <c r="F393" s="175">
        <v>24</v>
      </c>
    </row>
    <row r="394" spans="1:7" x14ac:dyDescent="0.3">
      <c r="A394" s="15">
        <v>45847</v>
      </c>
      <c r="C394" t="s">
        <v>1055</v>
      </c>
      <c r="F394" s="175">
        <v>190.8</v>
      </c>
    </row>
    <row r="395" spans="1:7" x14ac:dyDescent="0.3">
      <c r="A395" s="15">
        <v>45856</v>
      </c>
      <c r="C395" t="s">
        <v>283</v>
      </c>
      <c r="F395" s="175">
        <v>21</v>
      </c>
    </row>
    <row r="396" spans="1:7" x14ac:dyDescent="0.3">
      <c r="A396" s="15">
        <v>45863</v>
      </c>
      <c r="C396" t="s">
        <v>902</v>
      </c>
      <c r="F396" s="175">
        <v>72</v>
      </c>
    </row>
    <row r="397" spans="1:7" x14ac:dyDescent="0.3">
      <c r="A397" s="15">
        <v>45866</v>
      </c>
      <c r="C397" t="s">
        <v>270</v>
      </c>
      <c r="F397" s="175">
        <v>240</v>
      </c>
    </row>
    <row r="398" spans="1:7" x14ac:dyDescent="0.3">
      <c r="A398" s="15">
        <v>45868</v>
      </c>
      <c r="C398" t="s">
        <v>703</v>
      </c>
      <c r="F398" s="175">
        <v>433.75</v>
      </c>
    </row>
    <row r="399" spans="1:7" x14ac:dyDescent="0.3">
      <c r="A399" s="15">
        <v>45868</v>
      </c>
      <c r="C399" t="s">
        <v>384</v>
      </c>
      <c r="F399" s="175">
        <v>4027</v>
      </c>
      <c r="G399" t="s">
        <v>1058</v>
      </c>
    </row>
    <row r="400" spans="1:7" x14ac:dyDescent="0.3">
      <c r="A400" s="15">
        <v>45869</v>
      </c>
      <c r="C400" t="s">
        <v>275</v>
      </c>
      <c r="F400" s="175">
        <v>31.5</v>
      </c>
    </row>
    <row r="401" spans="1:7" x14ac:dyDescent="0.3">
      <c r="A401" s="15">
        <v>45873</v>
      </c>
      <c r="C401" t="s">
        <v>220</v>
      </c>
      <c r="F401" s="175">
        <v>22</v>
      </c>
    </row>
    <row r="402" spans="1:7" x14ac:dyDescent="0.3">
      <c r="A402" s="15">
        <v>45877</v>
      </c>
      <c r="C402" t="s">
        <v>431</v>
      </c>
      <c r="F402" s="175">
        <v>200</v>
      </c>
    </row>
    <row r="403" spans="1:7" x14ac:dyDescent="0.3">
      <c r="A403" s="15">
        <v>45877</v>
      </c>
      <c r="C403" t="s">
        <v>1027</v>
      </c>
      <c r="F403" s="175">
        <v>915</v>
      </c>
      <c r="G403" t="s">
        <v>1063</v>
      </c>
    </row>
    <row r="404" spans="1:7" x14ac:dyDescent="0.3">
      <c r="A404" s="15">
        <v>45877</v>
      </c>
      <c r="C404" t="s">
        <v>497</v>
      </c>
      <c r="F404" s="175">
        <v>10.5</v>
      </c>
    </row>
    <row r="405" spans="1:7" x14ac:dyDescent="0.3">
      <c r="A405" s="15">
        <v>45877</v>
      </c>
      <c r="C405" t="s">
        <v>1064</v>
      </c>
      <c r="F405" s="175">
        <v>40</v>
      </c>
    </row>
    <row r="406" spans="1:7" x14ac:dyDescent="0.3">
      <c r="A406" s="15">
        <v>45882</v>
      </c>
      <c r="C406" t="s">
        <v>712</v>
      </c>
      <c r="F406" s="175">
        <v>5</v>
      </c>
    </row>
    <row r="407" spans="1:7" x14ac:dyDescent="0.3">
      <c r="A407" s="15">
        <v>45883</v>
      </c>
      <c r="C407" t="s">
        <v>1021</v>
      </c>
      <c r="F407" s="175">
        <v>80</v>
      </c>
    </row>
    <row r="408" spans="1:7" x14ac:dyDescent="0.3">
      <c r="A408" s="15">
        <v>45891</v>
      </c>
      <c r="C408" t="s">
        <v>434</v>
      </c>
      <c r="F408" s="175">
        <v>580</v>
      </c>
    </row>
    <row r="409" spans="1:7" x14ac:dyDescent="0.3">
      <c r="A409" s="15">
        <v>45894</v>
      </c>
      <c r="C409" t="s">
        <v>266</v>
      </c>
      <c r="F409" s="175">
        <v>693</v>
      </c>
    </row>
    <row r="410" spans="1:7" x14ac:dyDescent="0.3">
      <c r="A410" s="15">
        <v>45895</v>
      </c>
      <c r="C410" t="s">
        <v>269</v>
      </c>
      <c r="F410" s="175">
        <v>1260</v>
      </c>
    </row>
    <row r="411" spans="1:7" x14ac:dyDescent="0.3">
      <c r="A411" s="15">
        <v>45896</v>
      </c>
      <c r="C411" t="s">
        <v>268</v>
      </c>
      <c r="F411" s="175">
        <v>950</v>
      </c>
    </row>
    <row r="412" spans="1:7" x14ac:dyDescent="0.3">
      <c r="A412" s="15">
        <v>45897</v>
      </c>
      <c r="C412" t="s">
        <v>277</v>
      </c>
      <c r="F412" s="175">
        <v>185.5</v>
      </c>
    </row>
    <row r="413" spans="1:7" x14ac:dyDescent="0.3">
      <c r="A413" s="15">
        <v>45897</v>
      </c>
      <c r="C413" t="s">
        <v>1066</v>
      </c>
      <c r="F413" s="175">
        <v>5</v>
      </c>
    </row>
    <row r="414" spans="1:7" x14ac:dyDescent="0.3">
      <c r="A414" s="15">
        <v>45898</v>
      </c>
      <c r="C414" t="s">
        <v>431</v>
      </c>
      <c r="F414" s="175">
        <v>100</v>
      </c>
    </row>
    <row r="415" spans="1:7" x14ac:dyDescent="0.3">
      <c r="A415" s="15">
        <v>45898</v>
      </c>
      <c r="C415" t="s">
        <v>427</v>
      </c>
      <c r="F415" s="175">
        <v>308</v>
      </c>
    </row>
    <row r="416" spans="1:7" x14ac:dyDescent="0.3">
      <c r="A416" s="15">
        <v>45902</v>
      </c>
      <c r="C416" t="s">
        <v>284</v>
      </c>
      <c r="F416" s="175">
        <v>10.5</v>
      </c>
    </row>
    <row r="417" spans="1:7" x14ac:dyDescent="0.3">
      <c r="A417" s="15">
        <v>45903</v>
      </c>
      <c r="C417" t="s">
        <v>272</v>
      </c>
      <c r="F417" s="175">
        <v>121</v>
      </c>
    </row>
    <row r="418" spans="1:7" x14ac:dyDescent="0.3">
      <c r="A418" s="15">
        <v>45904</v>
      </c>
      <c r="C418" t="s">
        <v>449</v>
      </c>
      <c r="F418" s="175">
        <v>1368</v>
      </c>
      <c r="G418" t="s">
        <v>1068</v>
      </c>
    </row>
    <row r="419" spans="1:7" x14ac:dyDescent="0.3">
      <c r="A419" s="15">
        <v>45904</v>
      </c>
      <c r="C419" t="s">
        <v>766</v>
      </c>
      <c r="F419" s="175">
        <v>99.9</v>
      </c>
    </row>
    <row r="420" spans="1:7" x14ac:dyDescent="0.3">
      <c r="A420" s="15">
        <v>45906</v>
      </c>
      <c r="C420" t="s">
        <v>749</v>
      </c>
      <c r="F420" s="175">
        <v>9.8000000000000007</v>
      </c>
    </row>
    <row r="421" spans="1:7" x14ac:dyDescent="0.3">
      <c r="A421" s="15">
        <v>45906</v>
      </c>
      <c r="C421" t="s">
        <v>437</v>
      </c>
      <c r="F421" s="175">
        <v>450</v>
      </c>
    </row>
    <row r="422" spans="1:7" x14ac:dyDescent="0.3">
      <c r="A422" s="15">
        <v>45910</v>
      </c>
      <c r="C422" t="s">
        <v>276</v>
      </c>
      <c r="F422" s="175">
        <v>342</v>
      </c>
    </row>
    <row r="423" spans="1:7" x14ac:dyDescent="0.3">
      <c r="A423" s="15">
        <v>45911</v>
      </c>
      <c r="C423" t="s">
        <v>956</v>
      </c>
      <c r="F423" s="175">
        <v>20</v>
      </c>
    </row>
    <row r="424" spans="1:7" x14ac:dyDescent="0.3">
      <c r="A424" s="15">
        <v>45912</v>
      </c>
      <c r="C424" t="s">
        <v>1051</v>
      </c>
      <c r="F424" s="175">
        <f>2.76*20</f>
        <v>55.199999999999996</v>
      </c>
    </row>
    <row r="425" spans="1:7" x14ac:dyDescent="0.3">
      <c r="A425" s="15">
        <v>45912</v>
      </c>
      <c r="C425" t="s">
        <v>756</v>
      </c>
      <c r="F425" s="175">
        <f>24*1.25</f>
        <v>30</v>
      </c>
    </row>
    <row r="426" spans="1:7" x14ac:dyDescent="0.3">
      <c r="A426" s="15">
        <v>45915</v>
      </c>
      <c r="C426" t="s">
        <v>278</v>
      </c>
      <c r="F426" s="175">
        <v>2475</v>
      </c>
      <c r="G426" t="s">
        <v>995</v>
      </c>
    </row>
    <row r="427" spans="1:7" x14ac:dyDescent="0.3">
      <c r="A427" s="15">
        <v>45917</v>
      </c>
      <c r="C427" t="s">
        <v>280</v>
      </c>
      <c r="F427" s="175">
        <v>50</v>
      </c>
    </row>
    <row r="428" spans="1:7" x14ac:dyDescent="0.3">
      <c r="A428" s="15">
        <v>45917</v>
      </c>
      <c r="C428" t="s">
        <v>438</v>
      </c>
      <c r="F428" s="175">
        <v>6</v>
      </c>
    </row>
    <row r="429" spans="1:7" x14ac:dyDescent="0.3">
      <c r="A429" s="15">
        <v>45922</v>
      </c>
      <c r="C429" t="s">
        <v>266</v>
      </c>
      <c r="F429" s="175">
        <v>649</v>
      </c>
    </row>
    <row r="430" spans="1:7" x14ac:dyDescent="0.3">
      <c r="A430" s="15">
        <v>45922</v>
      </c>
      <c r="C430" t="s">
        <v>766</v>
      </c>
      <c r="F430" s="175">
        <v>55.35</v>
      </c>
    </row>
    <row r="431" spans="1:7" x14ac:dyDescent="0.3">
      <c r="A431" s="15">
        <v>45929</v>
      </c>
      <c r="C431" t="s">
        <v>440</v>
      </c>
      <c r="F431" s="175">
        <v>30</v>
      </c>
    </row>
    <row r="432" spans="1:7" x14ac:dyDescent="0.3">
      <c r="A432" s="15">
        <v>45936</v>
      </c>
      <c r="C432" t="s">
        <v>279</v>
      </c>
      <c r="F432" s="175">
        <v>31.5</v>
      </c>
    </row>
    <row r="433" spans="1:7" x14ac:dyDescent="0.3">
      <c r="A433" s="15">
        <v>45936</v>
      </c>
      <c r="C433" t="s">
        <v>1059</v>
      </c>
      <c r="F433" s="175">
        <v>36</v>
      </c>
    </row>
    <row r="434" spans="1:7" x14ac:dyDescent="0.3">
      <c r="A434" s="15">
        <v>45937</v>
      </c>
      <c r="C434" t="s">
        <v>1032</v>
      </c>
      <c r="F434" s="175">
        <v>2</v>
      </c>
    </row>
    <row r="435" spans="1:7" x14ac:dyDescent="0.3">
      <c r="A435" s="15">
        <v>45947</v>
      </c>
      <c r="C435" t="s">
        <v>771</v>
      </c>
      <c r="F435" s="175">
        <v>3</v>
      </c>
    </row>
    <row r="436" spans="1:7" x14ac:dyDescent="0.3">
      <c r="A436" s="15">
        <v>45958</v>
      </c>
      <c r="B436" s="7"/>
      <c r="C436" t="s">
        <v>270</v>
      </c>
      <c r="F436" s="175">
        <v>240</v>
      </c>
    </row>
    <row r="437" spans="1:7" x14ac:dyDescent="0.3">
      <c r="A437" s="15">
        <v>45965</v>
      </c>
      <c r="C437" t="s">
        <v>220</v>
      </c>
      <c r="F437" s="175">
        <v>22</v>
      </c>
    </row>
    <row r="438" spans="1:7" x14ac:dyDescent="0.3">
      <c r="A438" s="15">
        <v>45968</v>
      </c>
      <c r="B438" s="7"/>
      <c r="C438" t="s">
        <v>282</v>
      </c>
      <c r="F438" s="175">
        <v>690</v>
      </c>
    </row>
    <row r="439" spans="1:7" x14ac:dyDescent="0.3">
      <c r="A439" s="15">
        <v>45973</v>
      </c>
      <c r="C439" t="s">
        <v>361</v>
      </c>
      <c r="F439" s="175">
        <v>348.8</v>
      </c>
      <c r="G439" t="s">
        <v>1146</v>
      </c>
    </row>
    <row r="440" spans="1:7" x14ac:dyDescent="0.3">
      <c r="A440" s="15">
        <v>45975</v>
      </c>
      <c r="B440" s="7"/>
      <c r="C440" t="s">
        <v>269</v>
      </c>
      <c r="F440" s="175">
        <v>600</v>
      </c>
    </row>
    <row r="441" spans="1:7" x14ac:dyDescent="0.3">
      <c r="A441" s="15">
        <v>45980</v>
      </c>
      <c r="B441" s="7"/>
      <c r="C441" t="s">
        <v>268</v>
      </c>
      <c r="F441" s="175">
        <v>1425</v>
      </c>
      <c r="G441" t="s">
        <v>1085</v>
      </c>
    </row>
    <row r="442" spans="1:7" x14ac:dyDescent="0.3">
      <c r="A442" s="15">
        <v>45981</v>
      </c>
      <c r="B442" s="7"/>
      <c r="C442" t="s">
        <v>601</v>
      </c>
      <c r="F442" s="175">
        <v>19</v>
      </c>
    </row>
    <row r="443" spans="1:7" x14ac:dyDescent="0.3">
      <c r="A443" s="15">
        <v>45982</v>
      </c>
      <c r="C443" t="s">
        <v>497</v>
      </c>
      <c r="F443" s="175">
        <v>5.5</v>
      </c>
    </row>
    <row r="444" spans="1:7" x14ac:dyDescent="0.3">
      <c r="A444" s="15">
        <v>45985</v>
      </c>
      <c r="B444" s="7"/>
      <c r="C444" t="s">
        <v>266</v>
      </c>
      <c r="F444" s="175">
        <v>1292</v>
      </c>
    </row>
    <row r="445" spans="1:7" x14ac:dyDescent="0.3">
      <c r="A445" s="15">
        <v>45987</v>
      </c>
      <c r="C445" t="s">
        <v>280</v>
      </c>
      <c r="F445" s="175">
        <f>40*6</f>
        <v>240</v>
      </c>
    </row>
    <row r="446" spans="1:7" x14ac:dyDescent="0.3">
      <c r="A446" s="15">
        <v>45988</v>
      </c>
      <c r="C446" t="s">
        <v>429</v>
      </c>
      <c r="F446" s="175">
        <f>4*4.5</f>
        <v>18</v>
      </c>
    </row>
    <row r="447" spans="1:7" x14ac:dyDescent="0.3">
      <c r="A447" s="15">
        <v>45992</v>
      </c>
      <c r="B447" s="7"/>
      <c r="C447" t="s">
        <v>756</v>
      </c>
      <c r="F447" s="175">
        <f>24*4.5</f>
        <v>108</v>
      </c>
    </row>
    <row r="448" spans="1:7" x14ac:dyDescent="0.3">
      <c r="A448" s="15">
        <v>45994</v>
      </c>
      <c r="C448" t="s">
        <v>771</v>
      </c>
      <c r="F448" s="175">
        <v>7</v>
      </c>
    </row>
    <row r="449" spans="1:7" x14ac:dyDescent="0.3">
      <c r="A449" s="15">
        <v>45994</v>
      </c>
      <c r="C449" t="s">
        <v>279</v>
      </c>
      <c r="F449" s="175">
        <v>73.5</v>
      </c>
    </row>
    <row r="450" spans="1:7" x14ac:dyDescent="0.3">
      <c r="A450" s="15">
        <v>45996</v>
      </c>
      <c r="B450" s="7"/>
      <c r="C450" t="s">
        <v>766</v>
      </c>
      <c r="F450" s="175">
        <v>98.55</v>
      </c>
    </row>
    <row r="451" spans="1:7" x14ac:dyDescent="0.3">
      <c r="A451" s="15">
        <v>46022</v>
      </c>
      <c r="C451" t="s">
        <v>278</v>
      </c>
      <c r="F451" s="175">
        <v>4125</v>
      </c>
      <c r="G451" t="s">
        <v>996</v>
      </c>
    </row>
    <row r="452" spans="1:7" x14ac:dyDescent="0.3">
      <c r="A452" s="15">
        <v>46049</v>
      </c>
      <c r="C452" t="s">
        <v>270</v>
      </c>
      <c r="F452" s="175">
        <f>20*12</f>
        <v>240</v>
      </c>
    </row>
    <row r="453" spans="1:7" x14ac:dyDescent="0.3">
      <c r="A453" s="15">
        <v>46056</v>
      </c>
      <c r="C453" t="s">
        <v>220</v>
      </c>
      <c r="F453" s="175">
        <v>114</v>
      </c>
    </row>
    <row r="454" spans="1:7" x14ac:dyDescent="0.3">
      <c r="A454" s="15">
        <v>46062</v>
      </c>
      <c r="C454" t="s">
        <v>1027</v>
      </c>
      <c r="F454" s="175">
        <v>1116</v>
      </c>
      <c r="G454" t="s">
        <v>1145</v>
      </c>
    </row>
    <row r="455" spans="1:7" x14ac:dyDescent="0.3">
      <c r="A455" s="15">
        <v>46069</v>
      </c>
      <c r="C455" t="s">
        <v>276</v>
      </c>
      <c r="F455" s="175">
        <f>342*5</f>
        <v>1710</v>
      </c>
    </row>
    <row r="456" spans="1:7" x14ac:dyDescent="0.3">
      <c r="A456" s="15">
        <v>46069</v>
      </c>
      <c r="C456" t="s">
        <v>449</v>
      </c>
      <c r="F456" s="175">
        <f>173*6</f>
        <v>1038</v>
      </c>
      <c r="G456" t="s">
        <v>1147</v>
      </c>
    </row>
    <row r="457" spans="1:7" x14ac:dyDescent="0.3">
      <c r="A457" s="15">
        <v>46069</v>
      </c>
      <c r="C457" t="s">
        <v>268</v>
      </c>
      <c r="F457" s="175">
        <v>1900</v>
      </c>
      <c r="G457" t="s">
        <v>1140</v>
      </c>
    </row>
    <row r="458" spans="1:7" x14ac:dyDescent="0.3">
      <c r="A458" s="15">
        <v>46079</v>
      </c>
      <c r="C458" t="s">
        <v>1141</v>
      </c>
      <c r="F458" s="175">
        <f>18*7</f>
        <v>126</v>
      </c>
    </row>
    <row r="459" spans="1:7" x14ac:dyDescent="0.3">
      <c r="A459" s="15">
        <v>46079</v>
      </c>
      <c r="C459" t="s">
        <v>437</v>
      </c>
      <c r="F459" s="175">
        <v>450</v>
      </c>
    </row>
    <row r="460" spans="1:7" x14ac:dyDescent="0.3">
      <c r="A460" s="15">
        <v>46080</v>
      </c>
      <c r="C460" t="s">
        <v>384</v>
      </c>
      <c r="F460" s="175">
        <v>3458</v>
      </c>
      <c r="G460" t="s">
        <v>1148</v>
      </c>
    </row>
    <row r="461" spans="1:7" x14ac:dyDescent="0.3">
      <c r="A461" s="15">
        <v>46080</v>
      </c>
      <c r="C461" t="s">
        <v>756</v>
      </c>
      <c r="F461" s="175">
        <f>24*3.25</f>
        <v>78</v>
      </c>
      <c r="G461" t="s">
        <v>1162</v>
      </c>
    </row>
    <row r="462" spans="1:7" x14ac:dyDescent="0.3">
      <c r="A462" s="15">
        <v>46080</v>
      </c>
      <c r="C462" t="s">
        <v>345</v>
      </c>
      <c r="F462" s="175">
        <v>100</v>
      </c>
    </row>
    <row r="463" spans="1:7" x14ac:dyDescent="0.3">
      <c r="A463" s="15">
        <v>46083</v>
      </c>
      <c r="B463" s="7"/>
      <c r="C463" t="s">
        <v>766</v>
      </c>
      <c r="F463" s="175">
        <f>27*4</f>
        <v>108</v>
      </c>
    </row>
    <row r="464" spans="1:7" x14ac:dyDescent="0.3">
      <c r="A464" s="15">
        <v>46083</v>
      </c>
      <c r="B464" s="7"/>
      <c r="C464" t="s">
        <v>280</v>
      </c>
      <c r="F464" s="175">
        <v>250</v>
      </c>
    </row>
    <row r="465" spans="1:8" x14ac:dyDescent="0.3">
      <c r="A465" s="15">
        <v>46083</v>
      </c>
      <c r="B465" s="7"/>
      <c r="C465" s="211" t="s">
        <v>279</v>
      </c>
      <c r="D465" s="211"/>
      <c r="E465" s="211"/>
      <c r="F465" s="213">
        <f>21*7</f>
        <v>147</v>
      </c>
      <c r="G465" t="s">
        <v>1043</v>
      </c>
    </row>
    <row r="466" spans="1:8" x14ac:dyDescent="0.3">
      <c r="A466" s="15">
        <v>46090</v>
      </c>
      <c r="B466" s="7"/>
      <c r="C466" t="s">
        <v>266</v>
      </c>
      <c r="F466" s="175">
        <v>693</v>
      </c>
      <c r="G466" t="s">
        <v>1161</v>
      </c>
    </row>
    <row r="467" spans="1:8" x14ac:dyDescent="0.3">
      <c r="A467" s="15">
        <v>46107</v>
      </c>
      <c r="C467" t="s">
        <v>284</v>
      </c>
      <c r="F467" s="175">
        <v>17</v>
      </c>
      <c r="G467" t="s">
        <v>1164</v>
      </c>
    </row>
    <row r="468" spans="1:8" x14ac:dyDescent="0.3">
      <c r="A468" s="15">
        <v>46108</v>
      </c>
      <c r="B468" s="7"/>
      <c r="C468" t="s">
        <v>278</v>
      </c>
      <c r="F468" s="175">
        <f>825*2</f>
        <v>1650</v>
      </c>
      <c r="G468" t="s">
        <v>1160</v>
      </c>
    </row>
    <row r="469" spans="1:8" x14ac:dyDescent="0.3">
      <c r="A469" s="15">
        <v>46111</v>
      </c>
      <c r="B469" s="7"/>
      <c r="C469" t="s">
        <v>766</v>
      </c>
      <c r="F469" s="175">
        <f>27*3.25</f>
        <v>87.75</v>
      </c>
      <c r="G469" t="s">
        <v>1163</v>
      </c>
    </row>
    <row r="470" spans="1:8" x14ac:dyDescent="0.3">
      <c r="A470" s="15">
        <v>46125</v>
      </c>
      <c r="B470" s="7"/>
      <c r="C470" t="s">
        <v>284</v>
      </c>
      <c r="F470">
        <v>15.75</v>
      </c>
    </row>
    <row r="471" spans="1:8" x14ac:dyDescent="0.3">
      <c r="A471" s="15">
        <v>46134</v>
      </c>
      <c r="C471" t="s">
        <v>277</v>
      </c>
      <c r="F471">
        <f>53*5.25</f>
        <v>278.25</v>
      </c>
    </row>
    <row r="472" spans="1:8" x14ac:dyDescent="0.3">
      <c r="A472" s="15">
        <v>46133</v>
      </c>
      <c r="C472" t="s">
        <v>956</v>
      </c>
      <c r="F472">
        <f>20*3</f>
        <v>60</v>
      </c>
      <c r="G472" t="s">
        <v>648</v>
      </c>
    </row>
    <row r="473" spans="1:8" x14ac:dyDescent="0.3">
      <c r="A473" s="15">
        <v>46147</v>
      </c>
      <c r="C473" t="s">
        <v>270</v>
      </c>
      <c r="F473">
        <f>24*20</f>
        <v>480</v>
      </c>
      <c r="G473" t="s">
        <v>1183</v>
      </c>
    </row>
    <row r="474" spans="1:8" x14ac:dyDescent="0.3">
      <c r="A474" s="15">
        <v>46162</v>
      </c>
      <c r="C474" t="s">
        <v>361</v>
      </c>
      <c r="F474">
        <f>436*1.2</f>
        <v>523.19999999999993</v>
      </c>
      <c r="G474" t="s">
        <v>552</v>
      </c>
    </row>
    <row r="475" spans="1:8" x14ac:dyDescent="0.3">
      <c r="B475" s="7">
        <v>46182</v>
      </c>
      <c r="C475" t="s">
        <v>220</v>
      </c>
      <c r="F475">
        <f>31*2</f>
        <v>62</v>
      </c>
      <c r="G475" t="s">
        <v>1170</v>
      </c>
    </row>
    <row r="476" spans="1:8" x14ac:dyDescent="0.3">
      <c r="C476" t="s">
        <v>1066</v>
      </c>
      <c r="F476">
        <f>10*0.6</f>
        <v>6</v>
      </c>
      <c r="G476" t="s">
        <v>1174</v>
      </c>
    </row>
    <row r="477" spans="1:8" x14ac:dyDescent="0.3">
      <c r="C477" t="s">
        <v>1167</v>
      </c>
      <c r="F477">
        <f>6*13</f>
        <v>78</v>
      </c>
      <c r="G477" t="s">
        <v>1182</v>
      </c>
      <c r="H477" s="7">
        <v>46192</v>
      </c>
    </row>
    <row r="478" spans="1:8" x14ac:dyDescent="0.3">
      <c r="C478" t="s">
        <v>272</v>
      </c>
      <c r="F478">
        <f>11*12</f>
        <v>132</v>
      </c>
      <c r="G478" t="s">
        <v>1175</v>
      </c>
    </row>
    <row r="479" spans="1:8" x14ac:dyDescent="0.3">
      <c r="B479" s="7">
        <v>46206</v>
      </c>
      <c r="C479" t="s">
        <v>1141</v>
      </c>
      <c r="F479">
        <f>18*5</f>
        <v>90</v>
      </c>
      <c r="G479" t="s">
        <v>1181</v>
      </c>
    </row>
    <row r="480" spans="1:8" x14ac:dyDescent="0.3">
      <c r="C480" t="s">
        <v>606</v>
      </c>
      <c r="F480">
        <f>40*3.4</f>
        <v>136</v>
      </c>
      <c r="G480" t="s">
        <v>1184</v>
      </c>
    </row>
    <row r="481" spans="2:7" x14ac:dyDescent="0.3">
      <c r="B481" s="7">
        <v>46196</v>
      </c>
      <c r="C481" t="s">
        <v>282</v>
      </c>
      <c r="F481">
        <f>30*25</f>
        <v>750</v>
      </c>
      <c r="G481" t="s">
        <v>1185</v>
      </c>
    </row>
    <row r="482" spans="2:7" x14ac:dyDescent="0.3">
      <c r="C482" t="s">
        <v>427</v>
      </c>
      <c r="F482">
        <f>56*6</f>
        <v>336</v>
      </c>
      <c r="G482" t="s">
        <v>1186</v>
      </c>
    </row>
    <row r="483" spans="2:7" x14ac:dyDescent="0.3">
      <c r="C483" t="s">
        <v>266</v>
      </c>
      <c r="F483">
        <f>126*5.25</f>
        <v>661.5</v>
      </c>
      <c r="G483" t="s">
        <v>1187</v>
      </c>
    </row>
    <row r="484" spans="2:7" x14ac:dyDescent="0.3">
      <c r="C484" t="s">
        <v>749</v>
      </c>
      <c r="F484">
        <f>42*0.58</f>
        <v>24.36</v>
      </c>
      <c r="G484" t="s">
        <v>1188</v>
      </c>
    </row>
    <row r="485" spans="2:7" x14ac:dyDescent="0.3">
      <c r="C485" t="s">
        <v>703</v>
      </c>
      <c r="F485">
        <f>347*1.25</f>
        <v>433.75</v>
      </c>
      <c r="G485" t="s">
        <v>1189</v>
      </c>
    </row>
    <row r="486" spans="2:7" x14ac:dyDescent="0.3">
      <c r="C486" t="s">
        <v>902</v>
      </c>
      <c r="F486">
        <f>3*24</f>
        <v>72</v>
      </c>
      <c r="G486" t="s">
        <v>1190</v>
      </c>
    </row>
    <row r="487" spans="2:7" x14ac:dyDescent="0.3">
      <c r="B487" s="7"/>
      <c r="C487" t="s">
        <v>601</v>
      </c>
      <c r="F487">
        <f>1*22</f>
        <v>22</v>
      </c>
      <c r="G487" t="s">
        <v>1192</v>
      </c>
    </row>
    <row r="488" spans="2:7" x14ac:dyDescent="0.3">
      <c r="B488" s="7">
        <v>46227</v>
      </c>
      <c r="C488" t="s">
        <v>1021</v>
      </c>
      <c r="F488">
        <f>9*20</f>
        <v>180</v>
      </c>
      <c r="G488" t="s">
        <v>1193</v>
      </c>
    </row>
    <row r="489" spans="2:7" x14ac:dyDescent="0.3">
      <c r="C489" t="s">
        <v>431</v>
      </c>
      <c r="F489">
        <f>20*11.5</f>
        <v>230</v>
      </c>
      <c r="G489" t="s">
        <v>1196</v>
      </c>
    </row>
    <row r="490" spans="2:7" x14ac:dyDescent="0.3">
      <c r="B490" s="7">
        <v>46240</v>
      </c>
      <c r="C490" t="s">
        <v>497</v>
      </c>
      <c r="F490">
        <f>2*5.5</f>
        <v>11</v>
      </c>
      <c r="G490" t="s">
        <v>1194</v>
      </c>
    </row>
    <row r="491" spans="2:7" x14ac:dyDescent="0.3">
      <c r="C491" t="s">
        <v>1051</v>
      </c>
      <c r="F491">
        <f>20*6.53</f>
        <v>130.6</v>
      </c>
      <c r="G491" t="s">
        <v>1195</v>
      </c>
    </row>
    <row r="492" spans="2:7" x14ac:dyDescent="0.3">
      <c r="C492" t="s">
        <v>712</v>
      </c>
      <c r="F492">
        <f>10*0.5</f>
        <v>5</v>
      </c>
      <c r="G492" t="s">
        <v>713</v>
      </c>
    </row>
    <row r="493" spans="2:7" x14ac:dyDescent="0.3">
      <c r="C493" t="s">
        <v>609</v>
      </c>
      <c r="F493">
        <f>1*10</f>
        <v>10</v>
      </c>
      <c r="G493" t="s">
        <v>1198</v>
      </c>
    </row>
    <row r="494" spans="2:7" x14ac:dyDescent="0.3">
      <c r="C494" t="s">
        <v>269</v>
      </c>
      <c r="F494">
        <f>120*19.25</f>
        <v>2310</v>
      </c>
      <c r="G494" t="s">
        <v>1207</v>
      </c>
    </row>
    <row r="495" spans="2:7" x14ac:dyDescent="0.3">
      <c r="C495" t="s">
        <v>279</v>
      </c>
      <c r="F495">
        <f>21*1</f>
        <v>21</v>
      </c>
      <c r="G495" t="s">
        <v>1210</v>
      </c>
    </row>
    <row r="496" spans="2:7" x14ac:dyDescent="0.3">
      <c r="C496" t="s">
        <v>766</v>
      </c>
      <c r="F496">
        <f>27*3.95</f>
        <v>106.65</v>
      </c>
      <c r="G496" t="s">
        <v>1208</v>
      </c>
    </row>
    <row r="497" spans="3:7" x14ac:dyDescent="0.3">
      <c r="C497" t="s">
        <v>440</v>
      </c>
      <c r="F497">
        <f>10*4</f>
        <v>40</v>
      </c>
      <c r="G497" t="s">
        <v>1211</v>
      </c>
    </row>
    <row r="498" spans="3:7" x14ac:dyDescent="0.3">
      <c r="C498" t="s">
        <v>449</v>
      </c>
      <c r="F498">
        <f>11*153</f>
        <v>1683</v>
      </c>
      <c r="G498" t="s">
        <v>1212</v>
      </c>
    </row>
    <row r="499" spans="3:7" x14ac:dyDescent="0.3">
      <c r="C499" t="s">
        <v>1055</v>
      </c>
      <c r="F499">
        <f>53*5.4</f>
        <v>286.20000000000005</v>
      </c>
      <c r="G499" t="s">
        <v>1213</v>
      </c>
    </row>
    <row r="500" spans="3:7" x14ac:dyDescent="0.3">
      <c r="C500" t="s">
        <v>756</v>
      </c>
      <c r="F500">
        <f>24*1.25</f>
        <v>30</v>
      </c>
      <c r="G500" t="s">
        <v>1215</v>
      </c>
    </row>
    <row r="501" spans="3:7" x14ac:dyDescent="0.3">
      <c r="C501" t="s">
        <v>1046</v>
      </c>
      <c r="F501">
        <f>71*1</f>
        <v>71</v>
      </c>
      <c r="G501" t="s">
        <v>1214</v>
      </c>
    </row>
    <row r="502" spans="3:7" x14ac:dyDescent="0.3">
      <c r="C502" t="s">
        <v>1064</v>
      </c>
      <c r="F502">
        <f>20*2</f>
        <v>40</v>
      </c>
      <c r="G502" t="s">
        <v>558</v>
      </c>
    </row>
    <row r="503" spans="3:7" x14ac:dyDescent="0.3">
      <c r="C503" t="s">
        <v>278</v>
      </c>
      <c r="F503">
        <f>825*1.25</f>
        <v>1031.25</v>
      </c>
      <c r="G503" t="s">
        <v>1217</v>
      </c>
    </row>
    <row r="504" spans="3:7" x14ac:dyDescent="0.3">
      <c r="C504" t="s">
        <v>434</v>
      </c>
      <c r="F504">
        <f>145*5</f>
        <v>725</v>
      </c>
      <c r="G504" t="s">
        <v>1216</v>
      </c>
    </row>
    <row r="505" spans="3:7" x14ac:dyDescent="0.3">
      <c r="C505" t="s">
        <v>284</v>
      </c>
      <c r="F505">
        <f>42*0.25</f>
        <v>10.5</v>
      </c>
      <c r="G505" t="s">
        <v>1218</v>
      </c>
    </row>
    <row r="506" spans="3:7" x14ac:dyDescent="0.3">
      <c r="C506" t="s">
        <v>384</v>
      </c>
      <c r="F506">
        <f>532*8</f>
        <v>4256</v>
      </c>
      <c r="G506" t="s">
        <v>1219</v>
      </c>
    </row>
    <row r="507" spans="3:7" x14ac:dyDescent="0.3">
      <c r="C507" t="s">
        <v>276</v>
      </c>
      <c r="F507">
        <f>342*0.5</f>
        <v>171</v>
      </c>
      <c r="G507" t="s">
        <v>1220</v>
      </c>
    </row>
    <row r="508" spans="3:7" x14ac:dyDescent="0.3">
      <c r="C508" t="s">
        <v>1032</v>
      </c>
      <c r="F508">
        <f>2*1.25</f>
        <v>2.5</v>
      </c>
    </row>
    <row r="509" spans="3:7" x14ac:dyDescent="0.3">
      <c r="C509" t="s">
        <v>437</v>
      </c>
      <c r="F509">
        <f>180*2.5</f>
        <v>450</v>
      </c>
      <c r="G509" t="s">
        <v>688</v>
      </c>
    </row>
    <row r="510" spans="3:7" x14ac:dyDescent="0.3">
      <c r="C510" t="s">
        <v>280</v>
      </c>
    </row>
    <row r="511" spans="3:7" x14ac:dyDescent="0.3">
      <c r="C511" t="s">
        <v>429</v>
      </c>
    </row>
  </sheetData>
  <autoFilter ref="A1:C477" xr:uid="{00000000-0001-0000-0A00-000000000000}"/>
  <hyperlinks>
    <hyperlink ref="J1" r:id="rId1" xr:uid="{3FB0C433-5AF6-4C6A-80AE-9E58E9A016BC}"/>
    <hyperlink ref="J2" r:id="rId2" xr:uid="{47E80B2E-E0E7-41B9-AFB5-8AC4ADD68C72}"/>
    <hyperlink ref="J3" r:id="rId3" xr:uid="{B3B50D62-14FC-48F9-B822-DB382F2A5704}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DD6E-25A4-40C8-83D4-FF3261BF7F11}">
  <dimension ref="A1:BI115"/>
  <sheetViews>
    <sheetView topLeftCell="A86" zoomScale="85" zoomScaleNormal="85" workbookViewId="0">
      <selection activeCell="H130" sqref="H130"/>
    </sheetView>
  </sheetViews>
  <sheetFormatPr defaultRowHeight="14.4" x14ac:dyDescent="0.3"/>
  <cols>
    <col min="1" max="1" width="10" bestFit="1" customWidth="1"/>
    <col min="2" max="2" width="4" bestFit="1" customWidth="1"/>
    <col min="4" max="4" width="8.21875" customWidth="1"/>
    <col min="6" max="6" width="9.77734375" bestFit="1" customWidth="1"/>
    <col min="7" max="7" width="4" bestFit="1" customWidth="1"/>
    <col min="10" max="10" width="9.21875" bestFit="1" customWidth="1"/>
    <col min="11" max="11" width="10" bestFit="1" customWidth="1"/>
    <col min="12" max="12" width="5.109375" bestFit="1" customWidth="1"/>
    <col min="16" max="16" width="10" bestFit="1" customWidth="1"/>
    <col min="17" max="17" width="3.88671875" bestFit="1" customWidth="1"/>
    <col min="20" max="21" width="9.77734375" bestFit="1" customWidth="1"/>
    <col min="22" max="22" width="3.88671875" bestFit="1" customWidth="1"/>
    <col min="26" max="26" width="9.77734375" bestFit="1" customWidth="1"/>
    <col min="27" max="27" width="3.88671875" bestFit="1" customWidth="1"/>
    <col min="31" max="31" width="10" bestFit="1" customWidth="1"/>
    <col min="32" max="32" width="3.88671875" bestFit="1" customWidth="1"/>
    <col min="36" max="36" width="9.6640625" bestFit="1" customWidth="1"/>
    <col min="37" max="37" width="3.88671875" bestFit="1" customWidth="1"/>
    <col min="41" max="41" width="9.77734375" bestFit="1" customWidth="1"/>
    <col min="42" max="42" width="3.88671875" bestFit="1" customWidth="1"/>
    <col min="46" max="46" width="9.6640625" bestFit="1" customWidth="1"/>
    <col min="47" max="47" width="3.88671875" bestFit="1" customWidth="1"/>
    <col min="51" max="51" width="10" bestFit="1" customWidth="1"/>
    <col min="55" max="55" width="6.5546875" customWidth="1"/>
    <col min="56" max="56" width="10" bestFit="1" customWidth="1"/>
  </cols>
  <sheetData>
    <row r="1" spans="1:61" x14ac:dyDescent="0.3">
      <c r="A1" s="235" t="s">
        <v>357</v>
      </c>
      <c r="B1" s="235"/>
      <c r="C1" s="235"/>
      <c r="F1" s="235" t="s">
        <v>349</v>
      </c>
      <c r="G1" s="235"/>
      <c r="H1" s="235"/>
      <c r="K1" s="235" t="s">
        <v>358</v>
      </c>
      <c r="L1" s="235"/>
      <c r="M1" s="235"/>
      <c r="P1" s="235" t="s">
        <v>348</v>
      </c>
      <c r="Q1" s="235"/>
      <c r="R1" s="235"/>
      <c r="U1" s="235" t="s">
        <v>400</v>
      </c>
      <c r="V1" s="235"/>
      <c r="W1" s="235"/>
      <c r="Z1" s="235" t="s">
        <v>356</v>
      </c>
      <c r="AA1" s="235"/>
      <c r="AB1" s="235"/>
      <c r="AE1" s="235" t="s">
        <v>401</v>
      </c>
      <c r="AF1" s="235"/>
      <c r="AG1" s="235"/>
      <c r="AH1" s="105"/>
      <c r="AJ1" s="235" t="s">
        <v>355</v>
      </c>
      <c r="AK1" s="235"/>
      <c r="AL1" s="235"/>
      <c r="AO1" s="235" t="s">
        <v>384</v>
      </c>
      <c r="AP1" s="235"/>
      <c r="AQ1" s="235"/>
      <c r="AR1" s="105"/>
      <c r="AT1" s="235" t="s">
        <v>398</v>
      </c>
      <c r="AU1" s="235"/>
      <c r="AV1" s="235"/>
      <c r="AY1" s="235" t="s">
        <v>424</v>
      </c>
      <c r="AZ1" s="235"/>
      <c r="BA1" s="235"/>
      <c r="BD1" s="235" t="s">
        <v>425</v>
      </c>
      <c r="BE1" s="235"/>
      <c r="BF1" s="235"/>
    </row>
    <row r="2" spans="1:61" x14ac:dyDescent="0.3">
      <c r="A2" t="s">
        <v>353</v>
      </c>
      <c r="B2" t="s">
        <v>399</v>
      </c>
      <c r="C2" t="s">
        <v>354</v>
      </c>
      <c r="F2" t="s">
        <v>353</v>
      </c>
      <c r="G2" t="s">
        <v>399</v>
      </c>
      <c r="H2" t="s">
        <v>354</v>
      </c>
      <c r="K2" t="s">
        <v>353</v>
      </c>
      <c r="L2" t="s">
        <v>399</v>
      </c>
      <c r="M2" t="s">
        <v>354</v>
      </c>
      <c r="P2" t="s">
        <v>353</v>
      </c>
      <c r="Q2" t="s">
        <v>399</v>
      </c>
      <c r="R2" t="s">
        <v>354</v>
      </c>
      <c r="U2" t="s">
        <v>353</v>
      </c>
      <c r="V2" t="s">
        <v>399</v>
      </c>
      <c r="W2" t="s">
        <v>354</v>
      </c>
      <c r="Z2" t="s">
        <v>353</v>
      </c>
      <c r="AA2" t="s">
        <v>399</v>
      </c>
      <c r="AB2" t="s">
        <v>354</v>
      </c>
      <c r="AE2" t="s">
        <v>353</v>
      </c>
      <c r="AF2" t="s">
        <v>399</v>
      </c>
      <c r="AG2" t="s">
        <v>354</v>
      </c>
      <c r="AJ2" t="s">
        <v>353</v>
      </c>
      <c r="AK2" t="s">
        <v>399</v>
      </c>
      <c r="AL2" t="s">
        <v>354</v>
      </c>
      <c r="AO2" t="s">
        <v>353</v>
      </c>
      <c r="AP2" t="s">
        <v>399</v>
      </c>
      <c r="AQ2" t="s">
        <v>354</v>
      </c>
      <c r="AT2" t="s">
        <v>353</v>
      </c>
      <c r="AU2" t="s">
        <v>399</v>
      </c>
      <c r="AV2" t="s">
        <v>354</v>
      </c>
      <c r="AY2" s="51" t="s">
        <v>353</v>
      </c>
      <c r="AZ2" s="51" t="s">
        <v>399</v>
      </c>
      <c r="BA2" s="51" t="s">
        <v>354</v>
      </c>
      <c r="BB2" s="51"/>
      <c r="BD2" t="s">
        <v>353</v>
      </c>
      <c r="BE2" t="s">
        <v>399</v>
      </c>
      <c r="BF2" t="s">
        <v>354</v>
      </c>
    </row>
    <row r="3" spans="1:61" x14ac:dyDescent="0.3">
      <c r="A3" s="15">
        <v>44120</v>
      </c>
      <c r="B3">
        <v>10</v>
      </c>
      <c r="C3">
        <v>325</v>
      </c>
      <c r="D3">
        <f t="shared" ref="D3:D17" si="0">B3*C3</f>
        <v>3250</v>
      </c>
      <c r="F3" s="15">
        <v>44166</v>
      </c>
      <c r="G3">
        <v>10</v>
      </c>
      <c r="H3">
        <v>569.70000000000005</v>
      </c>
      <c r="I3">
        <f t="shared" ref="I3:I18" si="1">G3*H3</f>
        <v>5697</v>
      </c>
      <c r="K3" s="15">
        <v>44174</v>
      </c>
      <c r="L3">
        <v>10</v>
      </c>
      <c r="M3">
        <v>1130</v>
      </c>
      <c r="N3">
        <f>L3*M3</f>
        <v>11300</v>
      </c>
      <c r="P3" s="15">
        <v>44141</v>
      </c>
      <c r="Q3">
        <v>10</v>
      </c>
      <c r="R3">
        <v>155</v>
      </c>
      <c r="S3">
        <f t="shared" ref="S3:S8" si="2">Q3*R3</f>
        <v>1550</v>
      </c>
      <c r="U3" s="15">
        <v>44253</v>
      </c>
      <c r="V3">
        <v>10</v>
      </c>
      <c r="W3">
        <v>164</v>
      </c>
      <c r="X3" s="106">
        <f>V3*W3</f>
        <v>1640</v>
      </c>
      <c r="Z3" s="15">
        <v>44251</v>
      </c>
      <c r="AA3">
        <v>10</v>
      </c>
      <c r="AB3">
        <v>776</v>
      </c>
      <c r="AC3">
        <f>AA3*AB3</f>
        <v>7760</v>
      </c>
      <c r="AE3" s="15">
        <v>44251</v>
      </c>
      <c r="AF3">
        <v>10</v>
      </c>
      <c r="AG3">
        <v>487</v>
      </c>
      <c r="AH3">
        <f>AF3*AG3</f>
        <v>4870</v>
      </c>
      <c r="AJ3" s="15">
        <v>44120</v>
      </c>
      <c r="AK3">
        <v>10</v>
      </c>
      <c r="AL3">
        <v>258</v>
      </c>
      <c r="AM3">
        <f>AK3*AL3</f>
        <v>2580</v>
      </c>
      <c r="AO3" s="15">
        <v>44251</v>
      </c>
      <c r="AP3">
        <v>10</v>
      </c>
      <c r="AQ3">
        <v>209</v>
      </c>
      <c r="AR3">
        <f t="shared" ref="AR3:AR12" si="3">AP3*AQ3</f>
        <v>2090</v>
      </c>
      <c r="AT3" s="15">
        <v>44251</v>
      </c>
      <c r="AU3">
        <v>10</v>
      </c>
      <c r="AV3">
        <v>553</v>
      </c>
      <c r="AW3">
        <f t="shared" ref="AW3:AW13" si="4">AU3*AV3</f>
        <v>5530</v>
      </c>
      <c r="AY3" s="112">
        <v>44335</v>
      </c>
      <c r="AZ3" s="51">
        <v>10</v>
      </c>
      <c r="BA3" s="51">
        <v>395</v>
      </c>
      <c r="BB3" s="51">
        <f>AZ3*BA3</f>
        <v>3950</v>
      </c>
      <c r="BD3" s="15">
        <v>44335</v>
      </c>
      <c r="BE3">
        <v>20</v>
      </c>
      <c r="BF3">
        <v>812</v>
      </c>
      <c r="BG3">
        <f t="shared" ref="BG3:BG10" si="5">BE3*BF3</f>
        <v>16240</v>
      </c>
    </row>
    <row r="4" spans="1:61" x14ac:dyDescent="0.3">
      <c r="A4" s="15">
        <v>44161</v>
      </c>
      <c r="B4">
        <v>30</v>
      </c>
      <c r="C4">
        <v>298</v>
      </c>
      <c r="D4">
        <f t="shared" si="0"/>
        <v>8940</v>
      </c>
      <c r="F4" s="15">
        <v>44174</v>
      </c>
      <c r="G4">
        <v>10</v>
      </c>
      <c r="H4">
        <v>600.54999999999995</v>
      </c>
      <c r="I4">
        <f t="shared" si="1"/>
        <v>6005.5</v>
      </c>
      <c r="K4" s="15">
        <v>44186</v>
      </c>
      <c r="L4">
        <v>10</v>
      </c>
      <c r="M4">
        <v>1010</v>
      </c>
      <c r="N4">
        <f>L4*M4</f>
        <v>10100</v>
      </c>
      <c r="P4" s="15">
        <v>44186</v>
      </c>
      <c r="Q4">
        <v>10</v>
      </c>
      <c r="R4">
        <v>165</v>
      </c>
      <c r="S4">
        <f t="shared" si="2"/>
        <v>1650</v>
      </c>
      <c r="U4" s="15">
        <v>44270</v>
      </c>
      <c r="V4">
        <v>10</v>
      </c>
      <c r="W4">
        <v>160</v>
      </c>
      <c r="X4" s="106">
        <f>V4*W4</f>
        <v>1600</v>
      </c>
      <c r="Z4" s="15">
        <v>44253</v>
      </c>
      <c r="AA4">
        <v>10</v>
      </c>
      <c r="AB4">
        <v>758</v>
      </c>
      <c r="AC4">
        <f>AA4*AB4</f>
        <v>7580</v>
      </c>
      <c r="AE4" s="15">
        <v>44253</v>
      </c>
      <c r="AF4">
        <v>10</v>
      </c>
      <c r="AG4">
        <v>480</v>
      </c>
      <c r="AH4">
        <f>AF4*AG4</f>
        <v>4800</v>
      </c>
      <c r="AJ4" s="15">
        <v>44174</v>
      </c>
      <c r="AK4">
        <v>10</v>
      </c>
      <c r="AL4">
        <v>299</v>
      </c>
      <c r="AM4">
        <f>AK4*AL4</f>
        <v>2990</v>
      </c>
      <c r="AO4" s="15">
        <v>44253</v>
      </c>
      <c r="AP4">
        <v>20</v>
      </c>
      <c r="AQ4">
        <v>206</v>
      </c>
      <c r="AR4">
        <f t="shared" si="3"/>
        <v>4120</v>
      </c>
      <c r="AT4" s="15">
        <v>44253</v>
      </c>
      <c r="AU4">
        <v>10</v>
      </c>
      <c r="AV4">
        <v>545</v>
      </c>
      <c r="AW4">
        <f t="shared" si="4"/>
        <v>5450</v>
      </c>
      <c r="AY4" s="112">
        <v>44342</v>
      </c>
      <c r="AZ4" s="51">
        <v>10</v>
      </c>
      <c r="BA4" s="51">
        <v>366</v>
      </c>
      <c r="BB4" s="51">
        <f>AZ4*BA4</f>
        <v>3660</v>
      </c>
      <c r="BD4" s="15">
        <v>44344</v>
      </c>
      <c r="BE4">
        <v>10</v>
      </c>
      <c r="BF4">
        <v>804</v>
      </c>
      <c r="BG4">
        <f t="shared" si="5"/>
        <v>8040</v>
      </c>
    </row>
    <row r="5" spans="1:61" x14ac:dyDescent="0.3">
      <c r="A5" s="15">
        <v>44166</v>
      </c>
      <c r="B5">
        <v>100</v>
      </c>
      <c r="C5">
        <v>326</v>
      </c>
      <c r="D5">
        <f t="shared" si="0"/>
        <v>32600</v>
      </c>
      <c r="F5" s="15">
        <v>44186</v>
      </c>
      <c r="G5">
        <v>10</v>
      </c>
      <c r="H5">
        <v>590.15</v>
      </c>
      <c r="I5">
        <f t="shared" si="1"/>
        <v>5901.5</v>
      </c>
      <c r="K5" s="15">
        <v>44187</v>
      </c>
      <c r="L5">
        <v>10</v>
      </c>
      <c r="M5">
        <v>996</v>
      </c>
      <c r="N5">
        <f>L5*M5</f>
        <v>9960</v>
      </c>
      <c r="P5" s="15">
        <v>44251</v>
      </c>
      <c r="Q5">
        <v>10</v>
      </c>
      <c r="R5">
        <v>240</v>
      </c>
      <c r="S5">
        <f t="shared" si="2"/>
        <v>2400</v>
      </c>
      <c r="X5">
        <f>SUM(X3:X4)</f>
        <v>3240</v>
      </c>
      <c r="Z5" s="15">
        <v>44260</v>
      </c>
      <c r="AA5">
        <v>10</v>
      </c>
      <c r="AB5">
        <v>764</v>
      </c>
      <c r="AC5">
        <f>AA5*AB5</f>
        <v>7640</v>
      </c>
      <c r="AJ5" s="15">
        <v>44186</v>
      </c>
      <c r="AK5">
        <v>10</v>
      </c>
      <c r="AL5">
        <v>263</v>
      </c>
      <c r="AM5">
        <f>AK5*AL5</f>
        <v>2630</v>
      </c>
      <c r="AO5" s="15">
        <v>44270</v>
      </c>
      <c r="AP5">
        <v>10</v>
      </c>
      <c r="AQ5">
        <v>202</v>
      </c>
      <c r="AR5">
        <f t="shared" si="3"/>
        <v>2020</v>
      </c>
      <c r="AT5" s="15">
        <v>44526</v>
      </c>
      <c r="AU5">
        <v>10</v>
      </c>
      <c r="AV5">
        <v>892</v>
      </c>
      <c r="AW5">
        <f t="shared" si="4"/>
        <v>8920</v>
      </c>
      <c r="AY5" s="112">
        <v>44344</v>
      </c>
      <c r="AZ5" s="51">
        <v>10</v>
      </c>
      <c r="BA5" s="51">
        <v>339</v>
      </c>
      <c r="BB5" s="51">
        <f>AZ5*BA5</f>
        <v>3390</v>
      </c>
      <c r="BD5" s="15">
        <v>44364</v>
      </c>
      <c r="BE5">
        <v>30</v>
      </c>
      <c r="BF5">
        <v>793</v>
      </c>
      <c r="BG5">
        <f t="shared" si="5"/>
        <v>23790</v>
      </c>
      <c r="BI5">
        <f>23717/30</f>
        <v>790.56666666666672</v>
      </c>
    </row>
    <row r="6" spans="1:61" x14ac:dyDescent="0.3">
      <c r="A6" s="15">
        <v>44174</v>
      </c>
      <c r="B6">
        <v>10</v>
      </c>
      <c r="C6">
        <v>335</v>
      </c>
      <c r="D6">
        <f t="shared" si="0"/>
        <v>3350</v>
      </c>
      <c r="F6" s="15">
        <v>44187</v>
      </c>
      <c r="G6">
        <v>30</v>
      </c>
      <c r="H6">
        <v>576.04999999999995</v>
      </c>
      <c r="I6">
        <f t="shared" si="1"/>
        <v>17281.5</v>
      </c>
      <c r="P6" s="15">
        <v>44267</v>
      </c>
      <c r="Q6">
        <v>10</v>
      </c>
      <c r="R6">
        <v>238</v>
      </c>
      <c r="S6">
        <f t="shared" si="2"/>
        <v>2380</v>
      </c>
      <c r="W6">
        <v>464</v>
      </c>
      <c r="X6">
        <f>20*464</f>
        <v>9280</v>
      </c>
      <c r="Z6" s="15">
        <v>44377</v>
      </c>
      <c r="AA6">
        <v>20</v>
      </c>
      <c r="AB6">
        <v>739</v>
      </c>
      <c r="AC6">
        <f>AA6*AB6</f>
        <v>14780</v>
      </c>
      <c r="AH6" s="106">
        <f>SUM(AH3:AH5)</f>
        <v>9670</v>
      </c>
      <c r="AM6" s="106">
        <f>SUM(AM3:AM5)</f>
        <v>8200</v>
      </c>
      <c r="AO6" s="15">
        <v>44349</v>
      </c>
      <c r="AP6">
        <v>100</v>
      </c>
      <c r="AQ6">
        <v>209</v>
      </c>
      <c r="AR6">
        <f t="shared" si="3"/>
        <v>20900</v>
      </c>
      <c r="AT6" s="15">
        <v>44547</v>
      </c>
      <c r="AU6">
        <v>20</v>
      </c>
      <c r="AV6">
        <v>887</v>
      </c>
      <c r="AW6">
        <f t="shared" si="4"/>
        <v>17740</v>
      </c>
      <c r="AY6" s="112">
        <v>44332</v>
      </c>
      <c r="AZ6" s="51">
        <v>4</v>
      </c>
      <c r="BA6" s="51">
        <v>327</v>
      </c>
      <c r="BB6" s="51">
        <f>AZ6*BA6</f>
        <v>1308</v>
      </c>
      <c r="BD6" s="15">
        <v>44365</v>
      </c>
      <c r="BE6">
        <v>25</v>
      </c>
      <c r="BF6">
        <v>779</v>
      </c>
      <c r="BG6">
        <f t="shared" si="5"/>
        <v>19475</v>
      </c>
    </row>
    <row r="7" spans="1:61" x14ac:dyDescent="0.3">
      <c r="A7" s="15">
        <v>44186</v>
      </c>
      <c r="B7">
        <v>50</v>
      </c>
      <c r="C7">
        <v>333</v>
      </c>
      <c r="D7">
        <f t="shared" si="0"/>
        <v>16650</v>
      </c>
      <c r="F7" s="15">
        <v>44211</v>
      </c>
      <c r="G7">
        <v>50</v>
      </c>
      <c r="H7">
        <v>603.1</v>
      </c>
      <c r="I7">
        <f t="shared" si="1"/>
        <v>30155</v>
      </c>
      <c r="L7">
        <f>SUM(L3:L5)</f>
        <v>30</v>
      </c>
      <c r="N7" s="106">
        <f>SUM(N3:N5)</f>
        <v>31360</v>
      </c>
      <c r="P7" s="15">
        <v>44270</v>
      </c>
      <c r="Q7">
        <v>10</v>
      </c>
      <c r="R7">
        <v>229</v>
      </c>
      <c r="S7">
        <f t="shared" si="2"/>
        <v>2290</v>
      </c>
      <c r="Z7" s="15">
        <v>44412</v>
      </c>
      <c r="AA7">
        <v>20</v>
      </c>
      <c r="AB7">
        <v>670</v>
      </c>
      <c r="AC7">
        <f>AA7*AB7</f>
        <v>13400</v>
      </c>
      <c r="AH7">
        <f>AH6/20</f>
        <v>483.5</v>
      </c>
      <c r="AO7" s="15">
        <v>44377</v>
      </c>
      <c r="AP7">
        <v>50</v>
      </c>
      <c r="AQ7">
        <v>204</v>
      </c>
      <c r="AR7">
        <f t="shared" si="3"/>
        <v>10200</v>
      </c>
      <c r="AT7" s="15">
        <v>44550</v>
      </c>
      <c r="AU7">
        <v>20</v>
      </c>
      <c r="AV7">
        <v>868</v>
      </c>
      <c r="AW7">
        <f t="shared" si="4"/>
        <v>17360</v>
      </c>
      <c r="AY7" s="112"/>
      <c r="AZ7" s="51"/>
      <c r="BA7" s="51"/>
      <c r="BB7" s="51"/>
      <c r="BD7" s="15">
        <v>44370</v>
      </c>
      <c r="BE7">
        <v>10</v>
      </c>
      <c r="BF7">
        <v>770</v>
      </c>
      <c r="BG7">
        <f t="shared" si="5"/>
        <v>7700</v>
      </c>
    </row>
    <row r="8" spans="1:61" x14ac:dyDescent="0.3">
      <c r="A8" s="15">
        <v>44187</v>
      </c>
      <c r="B8">
        <v>50</v>
      </c>
      <c r="C8">
        <v>331</v>
      </c>
      <c r="D8">
        <f t="shared" si="0"/>
        <v>16550</v>
      </c>
      <c r="F8" s="15">
        <v>44218</v>
      </c>
      <c r="G8" s="51">
        <v>50</v>
      </c>
      <c r="H8" s="51">
        <v>585</v>
      </c>
      <c r="I8" s="51">
        <f t="shared" si="1"/>
        <v>29250</v>
      </c>
      <c r="N8">
        <f>N7/L7</f>
        <v>1045.3333333333333</v>
      </c>
      <c r="P8" s="15">
        <v>44270</v>
      </c>
      <c r="Q8">
        <v>10</v>
      </c>
      <c r="R8">
        <v>230</v>
      </c>
      <c r="S8">
        <f t="shared" si="2"/>
        <v>2300</v>
      </c>
      <c r="AO8" s="15">
        <v>44526</v>
      </c>
      <c r="AP8">
        <v>20</v>
      </c>
      <c r="AQ8">
        <v>224</v>
      </c>
      <c r="AR8">
        <f t="shared" si="3"/>
        <v>4480</v>
      </c>
      <c r="AT8" s="15">
        <v>44720</v>
      </c>
      <c r="AU8">
        <v>7</v>
      </c>
      <c r="AV8">
        <v>770.6</v>
      </c>
      <c r="AW8">
        <f t="shared" si="4"/>
        <v>5394.2</v>
      </c>
      <c r="AY8" s="112"/>
      <c r="AZ8" s="51"/>
      <c r="BA8" s="51"/>
      <c r="BB8" s="51"/>
      <c r="BD8" s="15">
        <v>44404</v>
      </c>
      <c r="BE8">
        <v>20</v>
      </c>
      <c r="BF8">
        <v>757</v>
      </c>
      <c r="BG8">
        <f t="shared" si="5"/>
        <v>15140</v>
      </c>
    </row>
    <row r="9" spans="1:61" x14ac:dyDescent="0.3">
      <c r="A9" s="15">
        <v>44251</v>
      </c>
      <c r="B9">
        <v>10</v>
      </c>
      <c r="C9">
        <v>365</v>
      </c>
      <c r="D9">
        <f t="shared" si="0"/>
        <v>3650</v>
      </c>
      <c r="F9" s="15">
        <v>44251</v>
      </c>
      <c r="G9" s="51">
        <v>10</v>
      </c>
      <c r="H9" s="51">
        <v>562</v>
      </c>
      <c r="I9" s="51">
        <f t="shared" si="1"/>
        <v>5620</v>
      </c>
      <c r="M9">
        <v>2700</v>
      </c>
      <c r="N9">
        <f>L7*M9</f>
        <v>81000</v>
      </c>
      <c r="AA9">
        <f>SUM(AA3:AA7)</f>
        <v>70</v>
      </c>
      <c r="AC9">
        <f>SUM(AC3:AC7)</f>
        <v>51160</v>
      </c>
      <c r="AO9" s="15">
        <v>44529</v>
      </c>
      <c r="AP9">
        <v>10</v>
      </c>
      <c r="AQ9">
        <v>221</v>
      </c>
      <c r="AR9">
        <f t="shared" si="3"/>
        <v>2210</v>
      </c>
      <c r="AT9" s="15">
        <v>44728</v>
      </c>
      <c r="AU9">
        <v>5</v>
      </c>
      <c r="AV9">
        <v>755</v>
      </c>
      <c r="AW9">
        <f t="shared" si="4"/>
        <v>3775</v>
      </c>
      <c r="AY9" s="112"/>
      <c r="AZ9" s="51"/>
      <c r="BA9" s="51"/>
      <c r="BB9" s="51"/>
      <c r="BD9" s="15">
        <v>44405</v>
      </c>
      <c r="BE9">
        <v>20</v>
      </c>
      <c r="BF9">
        <v>744</v>
      </c>
      <c r="BG9">
        <f t="shared" si="5"/>
        <v>14880</v>
      </c>
    </row>
    <row r="10" spans="1:61" x14ac:dyDescent="0.3">
      <c r="A10" s="15">
        <v>44253</v>
      </c>
      <c r="B10">
        <v>20</v>
      </c>
      <c r="C10">
        <v>356</v>
      </c>
      <c r="D10">
        <f t="shared" si="0"/>
        <v>7120</v>
      </c>
      <c r="F10" s="15">
        <v>44253</v>
      </c>
      <c r="G10" s="51">
        <v>10</v>
      </c>
      <c r="H10" s="51">
        <v>557</v>
      </c>
      <c r="I10" s="51">
        <f t="shared" si="1"/>
        <v>5570</v>
      </c>
      <c r="Q10">
        <f>SUM(Q3:Q9)</f>
        <v>60</v>
      </c>
      <c r="S10">
        <f>SUM(S3:S9)</f>
        <v>12570</v>
      </c>
      <c r="AC10">
        <f>AC9/AA9</f>
        <v>730.85714285714289</v>
      </c>
      <c r="AO10" s="15">
        <v>44536</v>
      </c>
      <c r="AP10">
        <v>30</v>
      </c>
      <c r="AQ10">
        <v>219</v>
      </c>
      <c r="AR10">
        <f t="shared" si="3"/>
        <v>6570</v>
      </c>
      <c r="AT10" s="15">
        <v>44979</v>
      </c>
      <c r="AU10">
        <v>2</v>
      </c>
      <c r="AV10">
        <v>744.4</v>
      </c>
      <c r="AW10">
        <f t="shared" si="4"/>
        <v>1488.8</v>
      </c>
      <c r="AY10" s="51"/>
      <c r="AZ10" s="51"/>
      <c r="BA10" s="51"/>
      <c r="BB10" s="51"/>
      <c r="BD10" s="15">
        <v>44456</v>
      </c>
      <c r="BE10">
        <v>10</v>
      </c>
      <c r="BF10">
        <v>619</v>
      </c>
      <c r="BG10">
        <f t="shared" si="5"/>
        <v>6190</v>
      </c>
    </row>
    <row r="11" spans="1:61" x14ac:dyDescent="0.3">
      <c r="A11" s="15">
        <v>44273</v>
      </c>
      <c r="B11">
        <v>10</v>
      </c>
      <c r="C11">
        <v>347</v>
      </c>
      <c r="D11">
        <f t="shared" si="0"/>
        <v>3470</v>
      </c>
      <c r="F11" s="15">
        <v>44257</v>
      </c>
      <c r="G11" s="51">
        <v>55</v>
      </c>
      <c r="H11" s="51">
        <v>555.5</v>
      </c>
      <c r="I11" s="51">
        <f t="shared" si="1"/>
        <v>30552.5</v>
      </c>
      <c r="N11">
        <f>N9-N7</f>
        <v>49640</v>
      </c>
      <c r="S11">
        <f>S10/Q10</f>
        <v>209.5</v>
      </c>
      <c r="AO11" s="15">
        <v>44676</v>
      </c>
      <c r="AP11">
        <v>10</v>
      </c>
      <c r="AQ11">
        <v>255</v>
      </c>
      <c r="AR11">
        <f t="shared" si="3"/>
        <v>2550</v>
      </c>
      <c r="AT11" s="15">
        <v>44986</v>
      </c>
      <c r="AU11">
        <v>1</v>
      </c>
      <c r="AV11">
        <v>739.5</v>
      </c>
      <c r="AW11">
        <f t="shared" si="4"/>
        <v>739.5</v>
      </c>
      <c r="AY11" s="51"/>
      <c r="AZ11" s="51">
        <f>SUM(AZ3:AZ9)</f>
        <v>34</v>
      </c>
      <c r="BA11" s="51"/>
      <c r="BB11" s="51">
        <f>SUM(BB3:BB10)</f>
        <v>12308</v>
      </c>
    </row>
    <row r="12" spans="1:61" x14ac:dyDescent="0.3">
      <c r="A12" s="15">
        <v>44526</v>
      </c>
      <c r="B12">
        <v>10</v>
      </c>
      <c r="C12">
        <v>526</v>
      </c>
      <c r="D12">
        <f t="shared" si="0"/>
        <v>5260</v>
      </c>
      <c r="F12" s="15">
        <v>44260</v>
      </c>
      <c r="G12" s="51">
        <v>20</v>
      </c>
      <c r="H12" s="51">
        <v>544</v>
      </c>
      <c r="I12" s="51">
        <f t="shared" si="1"/>
        <v>10880</v>
      </c>
      <c r="AO12" s="15">
        <v>44697</v>
      </c>
      <c r="AP12">
        <v>3</v>
      </c>
      <c r="AQ12">
        <v>254</v>
      </c>
      <c r="AR12">
        <f t="shared" si="3"/>
        <v>762</v>
      </c>
      <c r="AT12" s="15">
        <v>44995</v>
      </c>
      <c r="AU12">
        <v>1</v>
      </c>
      <c r="AV12">
        <v>738.8</v>
      </c>
      <c r="AW12">
        <f t="shared" si="4"/>
        <v>738.8</v>
      </c>
      <c r="AY12" s="51"/>
      <c r="AZ12" s="51"/>
      <c r="BA12" s="51"/>
      <c r="BB12" s="51">
        <f>BB11/AZ11</f>
        <v>362</v>
      </c>
    </row>
    <row r="13" spans="1:61" x14ac:dyDescent="0.3">
      <c r="A13" s="15">
        <v>44529</v>
      </c>
      <c r="B13">
        <v>35</v>
      </c>
      <c r="C13">
        <v>509</v>
      </c>
      <c r="D13">
        <f t="shared" si="0"/>
        <v>17815</v>
      </c>
      <c r="F13" s="15">
        <v>44267</v>
      </c>
      <c r="G13" s="51">
        <v>20</v>
      </c>
      <c r="H13" s="51">
        <v>539.5</v>
      </c>
      <c r="I13" s="51">
        <f>G13*H13</f>
        <v>10790</v>
      </c>
      <c r="P13" s="235" t="s">
        <v>539</v>
      </c>
      <c r="Q13" s="235"/>
      <c r="R13" s="235"/>
      <c r="AO13" s="15">
        <v>44775</v>
      </c>
      <c r="AP13">
        <v>200</v>
      </c>
      <c r="AQ13">
        <v>308</v>
      </c>
      <c r="AR13">
        <f>AP13*AQ13</f>
        <v>61600</v>
      </c>
      <c r="AT13" s="15">
        <v>44985</v>
      </c>
      <c r="AU13">
        <v>20</v>
      </c>
      <c r="AV13">
        <v>1148</v>
      </c>
      <c r="AW13">
        <f t="shared" si="4"/>
        <v>22960</v>
      </c>
      <c r="BB13" s="4">
        <v>370.3</v>
      </c>
      <c r="BE13">
        <f>SUM(BE3:BE10)</f>
        <v>145</v>
      </c>
      <c r="BG13">
        <f>SUM(BG3:BG10)</f>
        <v>111455</v>
      </c>
    </row>
    <row r="14" spans="1:61" x14ac:dyDescent="0.3">
      <c r="A14" s="15">
        <v>44547</v>
      </c>
      <c r="B14">
        <v>40</v>
      </c>
      <c r="C14">
        <v>501</v>
      </c>
      <c r="D14">
        <f t="shared" si="0"/>
        <v>20040</v>
      </c>
      <c r="F14" s="15">
        <v>44270</v>
      </c>
      <c r="G14" s="51">
        <v>10</v>
      </c>
      <c r="H14" s="51">
        <v>540</v>
      </c>
      <c r="I14" s="51">
        <f>G14*H14</f>
        <v>5400</v>
      </c>
      <c r="P14" t="s">
        <v>353</v>
      </c>
      <c r="Q14" t="s">
        <v>399</v>
      </c>
      <c r="R14" t="s">
        <v>354</v>
      </c>
      <c r="AO14" s="15">
        <v>45357</v>
      </c>
      <c r="AP14">
        <v>50</v>
      </c>
      <c r="AQ14">
        <v>409</v>
      </c>
      <c r="AR14">
        <f>AP14*AQ14</f>
        <v>20450</v>
      </c>
      <c r="BG14">
        <f>BG13/BE13</f>
        <v>768.65517241379314</v>
      </c>
    </row>
    <row r="15" spans="1:61" x14ac:dyDescent="0.3">
      <c r="A15" s="15">
        <v>44550</v>
      </c>
      <c r="B15">
        <v>10</v>
      </c>
      <c r="C15">
        <v>483</v>
      </c>
      <c r="D15">
        <f t="shared" si="0"/>
        <v>4830</v>
      </c>
      <c r="F15" s="15">
        <v>44271</v>
      </c>
      <c r="G15" s="51">
        <v>10</v>
      </c>
      <c r="H15" s="51">
        <v>533</v>
      </c>
      <c r="I15" s="51">
        <f>G15*H15</f>
        <v>5330</v>
      </c>
      <c r="P15" s="112">
        <v>44690</v>
      </c>
      <c r="Q15" s="51">
        <v>1</v>
      </c>
      <c r="R15" s="51">
        <v>759</v>
      </c>
      <c r="S15" s="51">
        <f>Q15*R15</f>
        <v>759</v>
      </c>
      <c r="Z15" s="235" t="s">
        <v>409</v>
      </c>
      <c r="AA15" s="235"/>
      <c r="AB15" s="235"/>
      <c r="AE15" s="235" t="s">
        <v>423</v>
      </c>
      <c r="AF15" s="235"/>
      <c r="AG15" s="235"/>
      <c r="AH15" s="105"/>
      <c r="AU15">
        <f>SUM(AU3:AU14)</f>
        <v>106</v>
      </c>
      <c r="AW15">
        <f>SUM(AW3:AW13)</f>
        <v>90096.3</v>
      </c>
      <c r="BG15">
        <v>581</v>
      </c>
    </row>
    <row r="16" spans="1:61" x14ac:dyDescent="0.3">
      <c r="A16" s="15">
        <v>44579</v>
      </c>
      <c r="B16">
        <v>30</v>
      </c>
      <c r="C16">
        <v>505</v>
      </c>
      <c r="D16">
        <f t="shared" si="0"/>
        <v>15150</v>
      </c>
      <c r="F16" s="15">
        <v>44273</v>
      </c>
      <c r="G16" s="51">
        <v>35</v>
      </c>
      <c r="H16" s="51">
        <v>516</v>
      </c>
      <c r="I16" s="51">
        <f>G16*H16</f>
        <v>18060</v>
      </c>
      <c r="P16" s="112">
        <v>44693</v>
      </c>
      <c r="Q16" s="51">
        <v>1</v>
      </c>
      <c r="R16" s="51">
        <v>729</v>
      </c>
      <c r="S16" s="51">
        <f>Q16*R16</f>
        <v>729</v>
      </c>
      <c r="Z16" t="s">
        <v>353</v>
      </c>
      <c r="AA16" t="s">
        <v>399</v>
      </c>
      <c r="AB16" t="s">
        <v>354</v>
      </c>
      <c r="AE16" t="s">
        <v>353</v>
      </c>
      <c r="AF16" t="s">
        <v>399</v>
      </c>
      <c r="AG16" t="s">
        <v>354</v>
      </c>
      <c r="AW16">
        <f>AW15/AU15</f>
        <v>849.96509433962262</v>
      </c>
      <c r="BG16">
        <f>135*BG15</f>
        <v>78435</v>
      </c>
    </row>
    <row r="17" spans="1:59" x14ac:dyDescent="0.3">
      <c r="A17" s="15">
        <v>44580</v>
      </c>
      <c r="B17">
        <v>21</v>
      </c>
      <c r="C17">
        <v>500</v>
      </c>
      <c r="D17">
        <f t="shared" si="0"/>
        <v>10500</v>
      </c>
      <c r="F17" s="15">
        <v>44277</v>
      </c>
      <c r="G17" s="51">
        <v>10</v>
      </c>
      <c r="H17" s="51">
        <v>496</v>
      </c>
      <c r="I17" s="51">
        <f t="shared" si="1"/>
        <v>4960</v>
      </c>
      <c r="P17" s="112">
        <v>44698</v>
      </c>
      <c r="Q17" s="51">
        <v>1</v>
      </c>
      <c r="R17" s="51">
        <v>723</v>
      </c>
      <c r="S17" s="51">
        <f>Q17*R17</f>
        <v>723</v>
      </c>
      <c r="Z17" s="15">
        <v>44278</v>
      </c>
      <c r="AA17">
        <v>180</v>
      </c>
      <c r="AB17">
        <v>300</v>
      </c>
      <c r="AC17">
        <f>AA17*AB17</f>
        <v>54000</v>
      </c>
      <c r="AE17" s="15">
        <v>44335</v>
      </c>
      <c r="AF17">
        <v>100</v>
      </c>
      <c r="AG17">
        <v>103</v>
      </c>
      <c r="AH17">
        <f>AF17*AG17</f>
        <v>10300</v>
      </c>
      <c r="BG17">
        <f>BG13-BG16</f>
        <v>33020</v>
      </c>
    </row>
    <row r="18" spans="1:59" x14ac:dyDescent="0.3">
      <c r="F18" s="15">
        <v>44690</v>
      </c>
      <c r="G18" s="51">
        <v>2</v>
      </c>
      <c r="H18" s="51">
        <v>565</v>
      </c>
      <c r="I18" s="51">
        <f t="shared" si="1"/>
        <v>1130</v>
      </c>
      <c r="P18" s="112">
        <v>44698</v>
      </c>
      <c r="Q18" s="51">
        <v>1</v>
      </c>
      <c r="R18" s="51">
        <v>724</v>
      </c>
      <c r="S18" s="51">
        <f>Q18*R18</f>
        <v>724</v>
      </c>
      <c r="Z18" s="15"/>
      <c r="AE18" s="15"/>
      <c r="AP18">
        <f>SUM(AP3:AP14)</f>
        <v>513</v>
      </c>
      <c r="AR18">
        <f>SUM(AR3:AR14)</f>
        <v>137952</v>
      </c>
    </row>
    <row r="19" spans="1:59" x14ac:dyDescent="0.3">
      <c r="F19" s="15">
        <v>44693</v>
      </c>
      <c r="G19" s="51">
        <v>2</v>
      </c>
      <c r="H19" s="51">
        <v>536</v>
      </c>
      <c r="I19" s="51">
        <f>G19*H19</f>
        <v>1072</v>
      </c>
      <c r="P19" s="51"/>
      <c r="Q19" s="51"/>
      <c r="R19" s="51"/>
      <c r="S19" s="51"/>
      <c r="T19" s="15"/>
      <c r="Z19" s="15"/>
      <c r="AR19">
        <f>AR18/AP18</f>
        <v>268.91228070175441</v>
      </c>
    </row>
    <row r="20" spans="1:59" x14ac:dyDescent="0.3">
      <c r="F20" s="43">
        <v>44697</v>
      </c>
      <c r="G20" s="51">
        <v>1</v>
      </c>
      <c r="H20" s="51">
        <v>530</v>
      </c>
      <c r="I20" s="51">
        <f>G20*H20</f>
        <v>530</v>
      </c>
      <c r="P20" s="51"/>
      <c r="Q20" s="51"/>
      <c r="R20" s="51"/>
      <c r="S20" s="51">
        <f>AVERAGE(S15:S18)</f>
        <v>733.75</v>
      </c>
      <c r="T20" s="15"/>
      <c r="BE20">
        <f>145*300</f>
        <v>43500</v>
      </c>
      <c r="BF20">
        <v>111455</v>
      </c>
      <c r="BG20">
        <f>SUM(BE20:BF20)</f>
        <v>154955</v>
      </c>
    </row>
    <row r="21" spans="1:59" x14ac:dyDescent="0.3">
      <c r="F21" s="43">
        <v>44697</v>
      </c>
      <c r="G21" s="51">
        <v>1</v>
      </c>
      <c r="H21" s="51">
        <v>528</v>
      </c>
      <c r="I21" s="51">
        <f>G21*H21</f>
        <v>528</v>
      </c>
      <c r="P21" s="51"/>
      <c r="Q21" s="51"/>
      <c r="R21" s="51"/>
      <c r="S21" s="51">
        <v>739.9</v>
      </c>
      <c r="T21" s="15"/>
      <c r="Z21" s="235" t="s">
        <v>839</v>
      </c>
      <c r="AA21" s="235"/>
      <c r="AB21" s="235"/>
      <c r="AE21" s="235" t="s">
        <v>345</v>
      </c>
      <c r="AF21" s="235"/>
      <c r="AG21" s="235"/>
      <c r="AJ21" s="235" t="s">
        <v>840</v>
      </c>
      <c r="AK21" s="235"/>
      <c r="AL21" s="235"/>
      <c r="AO21" s="235" t="s">
        <v>841</v>
      </c>
      <c r="AP21" s="235"/>
      <c r="AQ21" s="235"/>
      <c r="BG21">
        <f>BG20/290</f>
        <v>534.32758620689651</v>
      </c>
    </row>
    <row r="22" spans="1:59" x14ac:dyDescent="0.3">
      <c r="B22">
        <f>SUM(B3:B19)</f>
        <v>436</v>
      </c>
      <c r="D22" s="106">
        <f>SUM(D3:D17)</f>
        <v>169175</v>
      </c>
      <c r="F22" s="43">
        <v>44697</v>
      </c>
      <c r="G22" s="51">
        <v>1</v>
      </c>
      <c r="H22" s="51">
        <v>527</v>
      </c>
      <c r="I22" s="51">
        <f>G22*H22</f>
        <v>527</v>
      </c>
      <c r="P22" s="15">
        <v>44995</v>
      </c>
      <c r="Q22">
        <v>1</v>
      </c>
      <c r="R22">
        <v>704.6</v>
      </c>
      <c r="T22" s="15"/>
      <c r="Z22" t="s">
        <v>353</v>
      </c>
      <c r="AA22" t="s">
        <v>399</v>
      </c>
      <c r="AB22" t="s">
        <v>354</v>
      </c>
      <c r="AE22" t="s">
        <v>353</v>
      </c>
      <c r="AF22" t="s">
        <v>399</v>
      </c>
      <c r="AG22" t="s">
        <v>354</v>
      </c>
      <c r="AJ22" t="s">
        <v>353</v>
      </c>
      <c r="AK22" t="s">
        <v>399</v>
      </c>
      <c r="AL22" t="s">
        <v>354</v>
      </c>
      <c r="AO22" t="s">
        <v>353</v>
      </c>
      <c r="AP22" t="s">
        <v>399</v>
      </c>
      <c r="AQ22" t="s">
        <v>354</v>
      </c>
    </row>
    <row r="23" spans="1:59" x14ac:dyDescent="0.3">
      <c r="D23">
        <f>D22/B22</f>
        <v>388.01605504587155</v>
      </c>
      <c r="T23" s="15"/>
      <c r="Z23" s="15">
        <v>44978</v>
      </c>
      <c r="AA23">
        <v>5</v>
      </c>
      <c r="AB23">
        <v>230.75</v>
      </c>
      <c r="AE23" s="15">
        <v>44978</v>
      </c>
      <c r="AF23">
        <v>5</v>
      </c>
      <c r="AG23">
        <v>273.05</v>
      </c>
      <c r="AJ23" s="15">
        <v>44978</v>
      </c>
      <c r="AK23">
        <v>10</v>
      </c>
      <c r="AL23">
        <v>277.35000000000002</v>
      </c>
      <c r="AO23" s="15">
        <v>44978</v>
      </c>
      <c r="AP23">
        <v>1</v>
      </c>
      <c r="AQ23">
        <v>872.7</v>
      </c>
    </row>
    <row r="24" spans="1:59" x14ac:dyDescent="0.3">
      <c r="G24">
        <f>SUM(G3:G22)</f>
        <v>347</v>
      </c>
      <c r="I24">
        <f>SUM(I3:I22)</f>
        <v>195240</v>
      </c>
      <c r="T24" s="15"/>
      <c r="Z24" s="15">
        <v>44979</v>
      </c>
      <c r="AA24">
        <v>5</v>
      </c>
      <c r="AB24">
        <v>226.7</v>
      </c>
      <c r="AE24" s="15">
        <v>44979</v>
      </c>
      <c r="AF24">
        <v>5</v>
      </c>
      <c r="AG24">
        <v>270</v>
      </c>
      <c r="AO24" s="15">
        <v>44979</v>
      </c>
      <c r="AP24">
        <v>1</v>
      </c>
      <c r="AQ24">
        <v>848.8</v>
      </c>
    </row>
    <row r="25" spans="1:59" x14ac:dyDescent="0.3">
      <c r="I25">
        <f>I24/G24</f>
        <v>562.65129682997122</v>
      </c>
      <c r="T25" s="15"/>
      <c r="Z25" s="15">
        <v>44986</v>
      </c>
      <c r="AA25">
        <v>10</v>
      </c>
      <c r="AB25">
        <v>220</v>
      </c>
      <c r="AE25" s="15">
        <v>44986</v>
      </c>
      <c r="AF25">
        <v>10</v>
      </c>
      <c r="AG25">
        <v>261.5</v>
      </c>
      <c r="AO25" s="15">
        <v>44995</v>
      </c>
      <c r="AP25">
        <v>1</v>
      </c>
      <c r="AQ25">
        <v>750.7</v>
      </c>
    </row>
    <row r="26" spans="1:59" x14ac:dyDescent="0.3">
      <c r="F26" s="15"/>
      <c r="G26">
        <f>SUM(G8:G22)</f>
        <v>237</v>
      </c>
      <c r="I26">
        <f>SUM(I8:I22)</f>
        <v>130199.5</v>
      </c>
      <c r="J26">
        <f>I26/G26</f>
        <v>549.36497890295357</v>
      </c>
      <c r="T26" s="15"/>
      <c r="AA26">
        <f>SUM(AA23:AA25)</f>
        <v>20</v>
      </c>
      <c r="AB26">
        <f>AVERAGE(AB23:AB25)</f>
        <v>225.81666666666669</v>
      </c>
    </row>
    <row r="27" spans="1:59" x14ac:dyDescent="0.3">
      <c r="G27">
        <f>SUM(G9:G22)</f>
        <v>187</v>
      </c>
      <c r="I27">
        <f>SUM(I9:I22)</f>
        <v>100949.5</v>
      </c>
      <c r="J27">
        <f>I27/G27</f>
        <v>539.83689839572196</v>
      </c>
      <c r="T27" s="15"/>
    </row>
    <row r="28" spans="1:59" x14ac:dyDescent="0.3">
      <c r="G28">
        <f>SUM(G7:G22)</f>
        <v>287</v>
      </c>
      <c r="I28">
        <f>SUM(I7:I22)</f>
        <v>160354.5</v>
      </c>
      <c r="J28">
        <f>I28/G28</f>
        <v>558.72648083623699</v>
      </c>
      <c r="T28" s="15"/>
    </row>
    <row r="29" spans="1:59" x14ac:dyDescent="0.3">
      <c r="T29" s="15"/>
    </row>
    <row r="30" spans="1:59" x14ac:dyDescent="0.3">
      <c r="T30" s="15"/>
    </row>
    <row r="31" spans="1:59" x14ac:dyDescent="0.3">
      <c r="T31" s="15"/>
    </row>
    <row r="32" spans="1:59" x14ac:dyDescent="0.3">
      <c r="T32" s="15"/>
    </row>
    <row r="33" spans="1:20" x14ac:dyDescent="0.3">
      <c r="T33" s="15"/>
    </row>
    <row r="34" spans="1:20" x14ac:dyDescent="0.3">
      <c r="T34" s="15"/>
    </row>
    <row r="35" spans="1:20" x14ac:dyDescent="0.3">
      <c r="A35" s="235" t="s">
        <v>139</v>
      </c>
      <c r="B35" s="235"/>
      <c r="C35" s="235"/>
      <c r="F35" s="235" t="s">
        <v>521</v>
      </c>
      <c r="G35" s="235"/>
      <c r="H35" s="235"/>
      <c r="T35" s="15"/>
    </row>
    <row r="36" spans="1:20" x14ac:dyDescent="0.3">
      <c r="A36" t="s">
        <v>353</v>
      </c>
      <c r="B36" t="s">
        <v>399</v>
      </c>
      <c r="C36" t="s">
        <v>354</v>
      </c>
      <c r="F36" t="s">
        <v>353</v>
      </c>
      <c r="G36" t="s">
        <v>399</v>
      </c>
      <c r="H36" t="s">
        <v>354</v>
      </c>
      <c r="T36" s="15"/>
    </row>
    <row r="37" spans="1:20" x14ac:dyDescent="0.3">
      <c r="A37" s="25">
        <v>42788</v>
      </c>
      <c r="B37" s="24">
        <v>10</v>
      </c>
      <c r="C37" s="24">
        <v>750</v>
      </c>
      <c r="D37" s="29">
        <v>7500</v>
      </c>
      <c r="F37" s="25">
        <v>42801</v>
      </c>
      <c r="G37" s="24">
        <v>10</v>
      </c>
      <c r="H37" s="24">
        <v>450</v>
      </c>
      <c r="I37">
        <f>G37*H37</f>
        <v>4500</v>
      </c>
      <c r="J37" s="24"/>
      <c r="T37" s="15"/>
    </row>
    <row r="38" spans="1:20" x14ac:dyDescent="0.3">
      <c r="A38" s="25">
        <v>42923</v>
      </c>
      <c r="B38" s="24">
        <v>10</v>
      </c>
      <c r="C38" s="24">
        <v>700</v>
      </c>
      <c r="D38" s="29">
        <v>7000</v>
      </c>
      <c r="F38" s="15">
        <v>43445</v>
      </c>
      <c r="G38" s="30">
        <v>10</v>
      </c>
      <c r="H38" s="30">
        <v>155</v>
      </c>
      <c r="I38">
        <f>G38*H38</f>
        <v>1550</v>
      </c>
      <c r="J38" s="24"/>
      <c r="T38" s="15"/>
    </row>
    <row r="39" spans="1:20" x14ac:dyDescent="0.3">
      <c r="A39" s="15">
        <v>43445</v>
      </c>
      <c r="B39" s="24">
        <v>10</v>
      </c>
      <c r="C39" s="30">
        <v>330</v>
      </c>
      <c r="D39">
        <f>B39*C39</f>
        <v>3300</v>
      </c>
      <c r="F39" s="15"/>
      <c r="G39" s="30">
        <v>10</v>
      </c>
      <c r="H39" s="30">
        <v>0</v>
      </c>
      <c r="I39">
        <v>0</v>
      </c>
      <c r="T39" s="15"/>
    </row>
    <row r="40" spans="1:20" x14ac:dyDescent="0.3">
      <c r="B40" s="38">
        <v>10</v>
      </c>
      <c r="C40">
        <v>0</v>
      </c>
      <c r="D40">
        <v>0</v>
      </c>
      <c r="F40" s="15">
        <v>44676</v>
      </c>
      <c r="G40">
        <v>10</v>
      </c>
      <c r="H40">
        <v>110</v>
      </c>
      <c r="I40">
        <f>G40*H40</f>
        <v>1100</v>
      </c>
      <c r="T40" s="15"/>
    </row>
    <row r="41" spans="1:20" x14ac:dyDescent="0.3">
      <c r="A41" s="15">
        <v>44526</v>
      </c>
      <c r="B41">
        <v>40</v>
      </c>
      <c r="C41">
        <v>383</v>
      </c>
      <c r="D41">
        <f>B41*C41</f>
        <v>15320</v>
      </c>
      <c r="F41" s="25">
        <v>44690</v>
      </c>
      <c r="G41" s="24">
        <v>10</v>
      </c>
      <c r="H41" s="24">
        <v>110</v>
      </c>
      <c r="I41" s="29">
        <v>1100</v>
      </c>
      <c r="T41" s="15"/>
    </row>
    <row r="42" spans="1:20" x14ac:dyDescent="0.3">
      <c r="A42" s="15">
        <v>44690</v>
      </c>
      <c r="B42">
        <v>10</v>
      </c>
      <c r="C42">
        <v>358</v>
      </c>
      <c r="D42" s="29">
        <f>B42*C42</f>
        <v>3580</v>
      </c>
      <c r="F42" s="15">
        <v>44693</v>
      </c>
      <c r="G42">
        <v>3</v>
      </c>
      <c r="H42">
        <v>100.7</v>
      </c>
      <c r="I42">
        <f>G42*H42</f>
        <v>302.10000000000002</v>
      </c>
      <c r="T42" s="15"/>
    </row>
    <row r="43" spans="1:20" x14ac:dyDescent="0.3">
      <c r="A43" s="15">
        <v>44693</v>
      </c>
      <c r="B43">
        <v>2</v>
      </c>
      <c r="C43">
        <v>337.5</v>
      </c>
      <c r="D43">
        <f>B43*C43</f>
        <v>675</v>
      </c>
      <c r="F43" s="15"/>
      <c r="T43" s="15"/>
    </row>
    <row r="44" spans="1:20" x14ac:dyDescent="0.3">
      <c r="A44">
        <v>44697</v>
      </c>
      <c r="B44">
        <v>3</v>
      </c>
      <c r="C44">
        <v>335.2</v>
      </c>
      <c r="D44">
        <f>B44*C44</f>
        <v>1005.5999999999999</v>
      </c>
      <c r="G44">
        <f>SUM(G37:G43)</f>
        <v>53</v>
      </c>
      <c r="I44">
        <f>SUM(I37:I43)</f>
        <v>8552.1</v>
      </c>
      <c r="T44" s="15"/>
    </row>
    <row r="45" spans="1:20" x14ac:dyDescent="0.3">
      <c r="I45">
        <f>I44/G44</f>
        <v>161.36037735849058</v>
      </c>
      <c r="T45" s="15"/>
    </row>
    <row r="46" spans="1:20" x14ac:dyDescent="0.3">
      <c r="T46" s="15"/>
    </row>
    <row r="47" spans="1:20" x14ac:dyDescent="0.3">
      <c r="B47">
        <f>SUM(B37:B46)</f>
        <v>95</v>
      </c>
      <c r="D47">
        <f>SUM(D37:D46)</f>
        <v>38380.6</v>
      </c>
      <c r="T47" s="15"/>
    </row>
    <row r="48" spans="1:20" x14ac:dyDescent="0.3">
      <c r="D48">
        <f>D47/B47</f>
        <v>404.00631578947366</v>
      </c>
      <c r="T48" s="15"/>
    </row>
    <row r="49" spans="1:23" x14ac:dyDescent="0.3">
      <c r="T49" s="15"/>
    </row>
    <row r="50" spans="1:23" x14ac:dyDescent="0.3">
      <c r="T50" s="15"/>
    </row>
    <row r="51" spans="1:23" x14ac:dyDescent="0.3">
      <c r="Q51">
        <v>10</v>
      </c>
      <c r="T51" s="15"/>
    </row>
    <row r="52" spans="1:23" x14ac:dyDescent="0.3">
      <c r="A52" s="235" t="s">
        <v>497</v>
      </c>
      <c r="B52" s="235"/>
      <c r="C52" s="235"/>
      <c r="F52" s="235" t="s">
        <v>359</v>
      </c>
      <c r="G52" s="235"/>
      <c r="H52" s="235"/>
      <c r="K52" s="235" t="s">
        <v>539</v>
      </c>
      <c r="L52" s="235"/>
      <c r="M52" s="235"/>
      <c r="P52" s="235" t="s">
        <v>1024</v>
      </c>
      <c r="Q52" s="235"/>
      <c r="R52" s="235"/>
      <c r="U52" s="235"/>
      <c r="V52" s="235"/>
      <c r="W52" s="235"/>
    </row>
    <row r="53" spans="1:23" x14ac:dyDescent="0.3">
      <c r="A53" s="51" t="s">
        <v>353</v>
      </c>
      <c r="B53" s="51" t="s">
        <v>399</v>
      </c>
      <c r="C53" s="51" t="s">
        <v>354</v>
      </c>
      <c r="D53" s="51"/>
      <c r="F53" t="s">
        <v>353</v>
      </c>
      <c r="G53" t="s">
        <v>399</v>
      </c>
      <c r="H53" t="s">
        <v>354</v>
      </c>
      <c r="K53" t="s">
        <v>353</v>
      </c>
      <c r="L53" t="s">
        <v>399</v>
      </c>
      <c r="M53" t="s">
        <v>354</v>
      </c>
      <c r="P53" s="15">
        <v>44141</v>
      </c>
      <c r="Q53">
        <v>10</v>
      </c>
      <c r="R53">
        <v>1916</v>
      </c>
      <c r="S53">
        <f>Q53*R53</f>
        <v>19160</v>
      </c>
      <c r="U53" s="15"/>
      <c r="V53" s="24"/>
      <c r="W53" s="24"/>
    </row>
    <row r="54" spans="1:23" x14ac:dyDescent="0.3">
      <c r="A54" s="112">
        <v>44659</v>
      </c>
      <c r="B54" s="51">
        <v>20</v>
      </c>
      <c r="C54" s="51">
        <v>565</v>
      </c>
      <c r="D54" s="51">
        <f t="shared" ref="D54:D61" si="6">B54*C54</f>
        <v>11300</v>
      </c>
      <c r="F54" s="112">
        <v>44340</v>
      </c>
      <c r="G54" s="51">
        <v>10</v>
      </c>
      <c r="H54" s="51">
        <v>3385</v>
      </c>
      <c r="I54" s="51">
        <f>G54*H54</f>
        <v>33850</v>
      </c>
      <c r="K54" s="112">
        <v>44690</v>
      </c>
      <c r="L54" s="51">
        <v>1</v>
      </c>
      <c r="M54" s="51">
        <v>759</v>
      </c>
      <c r="N54" s="51">
        <f>L54*M54</f>
        <v>759</v>
      </c>
      <c r="P54" s="15">
        <v>45586</v>
      </c>
      <c r="Q54" s="24">
        <v>1</v>
      </c>
      <c r="R54" s="24">
        <v>2734</v>
      </c>
      <c r="S54">
        <f>Q54*R54</f>
        <v>2734</v>
      </c>
      <c r="U54" s="15"/>
      <c r="V54" s="24"/>
      <c r="W54" s="24"/>
    </row>
    <row r="55" spans="1:23" x14ac:dyDescent="0.3">
      <c r="A55" s="112">
        <v>44686</v>
      </c>
      <c r="B55" s="51">
        <v>10</v>
      </c>
      <c r="C55" s="51">
        <v>534</v>
      </c>
      <c r="D55" s="51">
        <f t="shared" si="6"/>
        <v>5340</v>
      </c>
      <c r="F55" s="112">
        <v>44686</v>
      </c>
      <c r="G55" s="51">
        <v>7</v>
      </c>
      <c r="H55" s="51">
        <v>3337</v>
      </c>
      <c r="I55" s="51">
        <f>G55*H55</f>
        <v>23359</v>
      </c>
      <c r="K55" s="112">
        <v>44693</v>
      </c>
      <c r="L55" s="51">
        <v>1</v>
      </c>
      <c r="M55" s="51">
        <v>729</v>
      </c>
      <c r="N55" s="51">
        <f>L55*M55</f>
        <v>729</v>
      </c>
      <c r="P55" s="15">
        <v>45587</v>
      </c>
      <c r="Q55" s="24">
        <v>10</v>
      </c>
      <c r="R55" s="24">
        <v>2744</v>
      </c>
      <c r="S55">
        <f t="shared" ref="S55:S58" si="7">Q55*R55</f>
        <v>27440</v>
      </c>
    </row>
    <row r="56" spans="1:23" x14ac:dyDescent="0.3">
      <c r="A56" s="112">
        <v>44690</v>
      </c>
      <c r="B56" s="51">
        <v>9</v>
      </c>
      <c r="C56" s="51">
        <v>509</v>
      </c>
      <c r="D56" s="51">
        <f t="shared" si="6"/>
        <v>4581</v>
      </c>
      <c r="F56" s="112">
        <v>44690</v>
      </c>
      <c r="G56" s="51">
        <v>2</v>
      </c>
      <c r="H56" s="51">
        <v>3250</v>
      </c>
      <c r="I56" s="51">
        <f>G56*H56</f>
        <v>6500</v>
      </c>
      <c r="K56" s="112">
        <v>44698</v>
      </c>
      <c r="L56" s="51">
        <v>1</v>
      </c>
      <c r="M56" s="51">
        <v>723</v>
      </c>
      <c r="N56" s="51">
        <f>L56*M56</f>
        <v>723</v>
      </c>
      <c r="P56" s="15">
        <v>45588</v>
      </c>
      <c r="Q56" s="24">
        <v>2</v>
      </c>
      <c r="R56">
        <v>2684</v>
      </c>
      <c r="S56">
        <f t="shared" si="7"/>
        <v>5368</v>
      </c>
    </row>
    <row r="57" spans="1:23" x14ac:dyDescent="0.3">
      <c r="A57" s="129">
        <v>44697</v>
      </c>
      <c r="B57" s="51">
        <v>1</v>
      </c>
      <c r="C57" s="51">
        <v>498</v>
      </c>
      <c r="D57" s="51">
        <f t="shared" si="6"/>
        <v>498</v>
      </c>
      <c r="F57" s="51"/>
      <c r="G57" s="51">
        <f>SUM(G54:G56)</f>
        <v>19</v>
      </c>
      <c r="H57" s="51"/>
      <c r="I57" s="51">
        <f>SUM(I54:I56)</f>
        <v>63709</v>
      </c>
      <c r="K57" s="112">
        <v>44698</v>
      </c>
      <c r="L57" s="51">
        <v>1</v>
      </c>
      <c r="M57" s="51">
        <v>724</v>
      </c>
      <c r="N57" s="51">
        <f>L57*M57</f>
        <v>724</v>
      </c>
      <c r="P57" s="15">
        <v>45589</v>
      </c>
      <c r="Q57" s="24">
        <v>2</v>
      </c>
      <c r="R57">
        <v>2672</v>
      </c>
      <c r="S57">
        <f t="shared" si="7"/>
        <v>5344</v>
      </c>
    </row>
    <row r="58" spans="1:23" x14ac:dyDescent="0.3">
      <c r="A58" s="129">
        <v>44697</v>
      </c>
      <c r="B58" s="51">
        <v>1</v>
      </c>
      <c r="C58" s="51">
        <v>497</v>
      </c>
      <c r="D58" s="51">
        <f t="shared" si="6"/>
        <v>497</v>
      </c>
      <c r="F58" s="51"/>
      <c r="G58" s="51"/>
      <c r="H58" s="51"/>
      <c r="I58" s="51">
        <f>I57/G57</f>
        <v>3353.1052631578946</v>
      </c>
      <c r="K58" s="51"/>
      <c r="L58" s="51"/>
      <c r="M58" s="51"/>
      <c r="N58" s="51"/>
      <c r="P58" s="15">
        <v>45590</v>
      </c>
      <c r="Q58">
        <v>3</v>
      </c>
      <c r="R58">
        <v>2664</v>
      </c>
      <c r="S58">
        <f t="shared" si="7"/>
        <v>7992</v>
      </c>
    </row>
    <row r="59" spans="1:23" x14ac:dyDescent="0.3">
      <c r="A59" s="129">
        <v>44697</v>
      </c>
      <c r="B59" s="51">
        <v>1</v>
      </c>
      <c r="C59" s="51">
        <v>496</v>
      </c>
      <c r="D59" s="51">
        <f t="shared" si="6"/>
        <v>496</v>
      </c>
      <c r="F59" s="51"/>
      <c r="G59" s="51">
        <v>19</v>
      </c>
      <c r="H59" s="51">
        <v>3400</v>
      </c>
      <c r="I59" s="51">
        <f>G59*H59</f>
        <v>64600</v>
      </c>
      <c r="K59" s="51"/>
      <c r="L59" s="51"/>
      <c r="M59" s="51"/>
      <c r="N59" s="51">
        <f>AVERAGE(N54:N57)</f>
        <v>733.75</v>
      </c>
    </row>
    <row r="60" spans="1:23" x14ac:dyDescent="0.3">
      <c r="A60" s="112">
        <v>44720</v>
      </c>
      <c r="B60" s="51">
        <v>1</v>
      </c>
      <c r="C60" s="51">
        <v>493</v>
      </c>
      <c r="D60" s="51">
        <f t="shared" si="6"/>
        <v>493</v>
      </c>
      <c r="F60" s="51"/>
      <c r="G60" s="51"/>
      <c r="H60" s="51"/>
      <c r="I60" s="51">
        <f>I59-I57</f>
        <v>891</v>
      </c>
      <c r="K60" s="51"/>
      <c r="L60" s="51"/>
      <c r="M60" s="51"/>
      <c r="N60" s="51">
        <v>739.9</v>
      </c>
      <c r="Q60">
        <f>SUM(Q53:Q58)</f>
        <v>28</v>
      </c>
      <c r="S60">
        <f>SUM(S53:S58)</f>
        <v>68038</v>
      </c>
    </row>
    <row r="61" spans="1:23" x14ac:dyDescent="0.3">
      <c r="A61" s="15">
        <v>44986</v>
      </c>
      <c r="B61">
        <v>1</v>
      </c>
      <c r="C61">
        <v>531.15</v>
      </c>
      <c r="D61">
        <f t="shared" si="6"/>
        <v>531.15</v>
      </c>
      <c r="S61">
        <f>S60/Q60</f>
        <v>2429.9285714285716</v>
      </c>
      <c r="T61">
        <v>1214</v>
      </c>
    </row>
    <row r="62" spans="1:23" x14ac:dyDescent="0.3">
      <c r="A62" s="51"/>
      <c r="B62" s="51"/>
      <c r="C62" s="51"/>
      <c r="D62" s="51"/>
    </row>
    <row r="63" spans="1:23" x14ac:dyDescent="0.3">
      <c r="A63" s="51"/>
      <c r="B63" s="51"/>
      <c r="C63" s="51"/>
      <c r="D63" s="51"/>
      <c r="E63">
        <v>540</v>
      </c>
    </row>
    <row r="64" spans="1:23" x14ac:dyDescent="0.3">
      <c r="A64" s="235" t="s">
        <v>498</v>
      </c>
      <c r="B64" s="235"/>
      <c r="C64" s="235"/>
      <c r="F64" s="235" t="s">
        <v>501</v>
      </c>
      <c r="G64" s="235"/>
      <c r="H64" s="235"/>
      <c r="K64" s="235" t="s">
        <v>546</v>
      </c>
      <c r="L64" s="235"/>
      <c r="M64" s="235"/>
      <c r="P64" s="235" t="s">
        <v>499</v>
      </c>
      <c r="Q64" s="235"/>
      <c r="R64" s="235"/>
      <c r="U64" s="235" t="s">
        <v>144</v>
      </c>
      <c r="V64" s="235"/>
      <c r="W64" s="235"/>
    </row>
    <row r="65" spans="1:25" x14ac:dyDescent="0.3">
      <c r="A65" s="15">
        <v>44722</v>
      </c>
      <c r="B65">
        <v>1</v>
      </c>
      <c r="C65">
        <v>117</v>
      </c>
      <c r="D65">
        <f>B65*C65</f>
        <v>117</v>
      </c>
      <c r="F65" s="15">
        <v>44693</v>
      </c>
      <c r="G65">
        <v>1</v>
      </c>
      <c r="H65">
        <v>235</v>
      </c>
      <c r="I65">
        <f>G65*H65</f>
        <v>235</v>
      </c>
      <c r="K65" s="15">
        <v>44693</v>
      </c>
      <c r="L65">
        <v>1</v>
      </c>
      <c r="M65">
        <v>208.5</v>
      </c>
      <c r="N65">
        <f>L65*M65</f>
        <v>208.5</v>
      </c>
      <c r="P65" s="15">
        <v>44332</v>
      </c>
      <c r="Q65" s="24">
        <v>2</v>
      </c>
      <c r="R65" s="24">
        <v>105</v>
      </c>
      <c r="S65">
        <f>Q65*R65</f>
        <v>210</v>
      </c>
      <c r="V65">
        <v>30</v>
      </c>
      <c r="W65">
        <v>155</v>
      </c>
      <c r="X65">
        <f>V65*W65</f>
        <v>4650</v>
      </c>
    </row>
    <row r="66" spans="1:25" x14ac:dyDescent="0.3">
      <c r="A66" s="15">
        <v>44725</v>
      </c>
      <c r="B66">
        <v>4</v>
      </c>
      <c r="C66">
        <v>115</v>
      </c>
      <c r="D66">
        <f>B66*C66</f>
        <v>460</v>
      </c>
      <c r="F66" s="15">
        <v>44720</v>
      </c>
      <c r="G66">
        <v>1</v>
      </c>
      <c r="H66">
        <v>224.5</v>
      </c>
      <c r="I66">
        <f>G66*H66</f>
        <v>224.5</v>
      </c>
      <c r="P66" s="15">
        <v>44363</v>
      </c>
      <c r="Q66" s="30">
        <v>20</v>
      </c>
      <c r="R66" s="30">
        <v>102.3</v>
      </c>
      <c r="S66">
        <f>Q66*R66</f>
        <v>2046</v>
      </c>
      <c r="U66" s="15">
        <v>44728</v>
      </c>
      <c r="V66">
        <v>10</v>
      </c>
      <c r="W66">
        <v>144</v>
      </c>
      <c r="X66">
        <f>V66*W66</f>
        <v>1440</v>
      </c>
    </row>
    <row r="67" spans="1:25" x14ac:dyDescent="0.3">
      <c r="A67" s="15">
        <v>44728</v>
      </c>
      <c r="B67">
        <v>10</v>
      </c>
      <c r="C67">
        <v>114</v>
      </c>
      <c r="D67">
        <f>B67*C67</f>
        <v>1140</v>
      </c>
      <c r="F67" s="15">
        <v>44721</v>
      </c>
      <c r="G67">
        <v>2</v>
      </c>
      <c r="H67">
        <v>222</v>
      </c>
      <c r="I67">
        <f>G67*H67</f>
        <v>444</v>
      </c>
    </row>
    <row r="68" spans="1:25" x14ac:dyDescent="0.3">
      <c r="A68" s="15">
        <v>44746</v>
      </c>
      <c r="B68">
        <v>10</v>
      </c>
      <c r="C68">
        <v>125.85</v>
      </c>
      <c r="D68">
        <f>B68*C68</f>
        <v>1258.5</v>
      </c>
      <c r="F68" s="15">
        <v>44728</v>
      </c>
      <c r="G68">
        <v>15</v>
      </c>
      <c r="H68">
        <v>220.8</v>
      </c>
      <c r="I68">
        <f>G68*H68</f>
        <v>3312</v>
      </c>
      <c r="P68" s="15"/>
      <c r="Q68" s="30"/>
      <c r="R68" s="30"/>
      <c r="V68">
        <f>SUM(V65:V66)</f>
        <v>40</v>
      </c>
      <c r="X68">
        <f>SUM(X65:X66)</f>
        <v>6090</v>
      </c>
    </row>
    <row r="69" spans="1:25" x14ac:dyDescent="0.3">
      <c r="B69">
        <f>SUM(B65:B68)</f>
        <v>25</v>
      </c>
      <c r="C69">
        <f>25*128</f>
        <v>3200</v>
      </c>
      <c r="D69">
        <f>SUM(D65:D68)</f>
        <v>2975.5</v>
      </c>
      <c r="X69">
        <f>X68/V68</f>
        <v>152.25</v>
      </c>
    </row>
    <row r="70" spans="1:25" x14ac:dyDescent="0.3">
      <c r="D70">
        <f>D69/B69</f>
        <v>119.02</v>
      </c>
      <c r="W70">
        <f>40*126</f>
        <v>5040</v>
      </c>
    </row>
    <row r="72" spans="1:25" x14ac:dyDescent="0.3">
      <c r="A72" s="131">
        <v>44789</v>
      </c>
      <c r="B72" s="88">
        <v>25</v>
      </c>
      <c r="C72" s="88">
        <v>136.5</v>
      </c>
      <c r="D72" s="88">
        <f>B72*C72</f>
        <v>3412.5</v>
      </c>
      <c r="E72" s="88" t="s">
        <v>738</v>
      </c>
    </row>
    <row r="73" spans="1:25" x14ac:dyDescent="0.3">
      <c r="G73">
        <f>SUM(G65:G72)</f>
        <v>19</v>
      </c>
      <c r="I73">
        <f>SUM(I65:I72)</f>
        <v>4215.5</v>
      </c>
      <c r="Q73">
        <f>SUM(Q65:Q72)</f>
        <v>22</v>
      </c>
      <c r="S73">
        <f>SUM(S65:S72)</f>
        <v>2256</v>
      </c>
    </row>
    <row r="74" spans="1:25" x14ac:dyDescent="0.3">
      <c r="I74">
        <f>I73/G73</f>
        <v>221.86842105263159</v>
      </c>
      <c r="S74">
        <f>S73/Q73</f>
        <v>102.54545454545455</v>
      </c>
    </row>
    <row r="75" spans="1:25" x14ac:dyDescent="0.3">
      <c r="A75" s="235" t="s">
        <v>500</v>
      </c>
      <c r="B75" s="235"/>
      <c r="C75" s="235"/>
      <c r="F75" s="235" t="s">
        <v>567</v>
      </c>
      <c r="G75" s="235"/>
      <c r="H75" s="235"/>
      <c r="K75" s="235" t="s">
        <v>127</v>
      </c>
      <c r="L75" s="235"/>
      <c r="M75" s="235"/>
      <c r="P75" s="235" t="s">
        <v>95</v>
      </c>
      <c r="Q75" s="235"/>
      <c r="R75" s="235"/>
      <c r="U75" s="235" t="s">
        <v>597</v>
      </c>
      <c r="V75" s="235"/>
      <c r="W75" s="235"/>
    </row>
    <row r="76" spans="1:25" x14ac:dyDescent="0.3">
      <c r="A76" s="105"/>
      <c r="B76">
        <v>74</v>
      </c>
      <c r="C76">
        <v>153.5</v>
      </c>
      <c r="D76">
        <f t="shared" ref="D76:D81" si="8">B76*C76</f>
        <v>11359</v>
      </c>
      <c r="F76" s="105"/>
      <c r="G76">
        <v>40</v>
      </c>
      <c r="H76">
        <v>294</v>
      </c>
      <c r="I76">
        <f t="shared" ref="I76:I81" si="9">G76*H76</f>
        <v>11760</v>
      </c>
      <c r="K76" s="105"/>
      <c r="L76">
        <v>20</v>
      </c>
      <c r="M76">
        <v>169</v>
      </c>
      <c r="N76">
        <f t="shared" ref="N76:N83" si="10">L76*M76</f>
        <v>3380</v>
      </c>
      <c r="Q76">
        <v>66</v>
      </c>
      <c r="R76">
        <v>289</v>
      </c>
      <c r="S76">
        <f>Q76*R76</f>
        <v>19074</v>
      </c>
      <c r="U76" s="25">
        <v>43174</v>
      </c>
      <c r="V76" s="24">
        <v>5</v>
      </c>
      <c r="W76" s="24">
        <v>345</v>
      </c>
      <c r="X76">
        <f>V76*W76</f>
        <v>1725</v>
      </c>
    </row>
    <row r="77" spans="1:25" x14ac:dyDescent="0.3">
      <c r="A77" s="15">
        <v>44721</v>
      </c>
      <c r="B77">
        <v>10</v>
      </c>
      <c r="C77">
        <v>152</v>
      </c>
      <c r="D77">
        <f t="shared" si="8"/>
        <v>1520</v>
      </c>
      <c r="F77" s="15">
        <v>44721</v>
      </c>
      <c r="G77">
        <v>5</v>
      </c>
      <c r="H77">
        <v>199</v>
      </c>
      <c r="I77">
        <f t="shared" si="9"/>
        <v>995</v>
      </c>
      <c r="K77" s="15">
        <v>44721</v>
      </c>
      <c r="L77">
        <v>30</v>
      </c>
      <c r="M77">
        <v>118</v>
      </c>
      <c r="N77">
        <f t="shared" si="10"/>
        <v>3540</v>
      </c>
      <c r="P77" s="15">
        <v>44725</v>
      </c>
      <c r="Q77">
        <v>15</v>
      </c>
      <c r="R77">
        <v>227.8</v>
      </c>
      <c r="S77">
        <f>Q77*R77</f>
        <v>3417</v>
      </c>
      <c r="U77" s="25">
        <v>43175</v>
      </c>
      <c r="V77" s="30">
        <v>5</v>
      </c>
      <c r="W77" s="30">
        <v>340</v>
      </c>
      <c r="X77">
        <f>V77*W77</f>
        <v>1700</v>
      </c>
    </row>
    <row r="78" spans="1:25" x14ac:dyDescent="0.3">
      <c r="A78" s="15">
        <v>44722</v>
      </c>
      <c r="B78">
        <v>5</v>
      </c>
      <c r="C78">
        <v>149.5</v>
      </c>
      <c r="D78">
        <f t="shared" si="8"/>
        <v>747.5</v>
      </c>
      <c r="F78" s="15">
        <v>44722</v>
      </c>
      <c r="G78">
        <v>5</v>
      </c>
      <c r="H78">
        <v>197</v>
      </c>
      <c r="I78">
        <f t="shared" si="9"/>
        <v>985</v>
      </c>
      <c r="K78" s="15">
        <v>44722</v>
      </c>
      <c r="L78">
        <v>10</v>
      </c>
      <c r="M78">
        <v>117</v>
      </c>
      <c r="N78">
        <f t="shared" si="10"/>
        <v>1170</v>
      </c>
      <c r="P78" s="112">
        <v>44726</v>
      </c>
      <c r="Q78" s="51">
        <v>5</v>
      </c>
      <c r="R78" s="51">
        <v>217.06</v>
      </c>
      <c r="S78" s="51">
        <f>Q78*R78</f>
        <v>1085.3</v>
      </c>
      <c r="U78" s="128">
        <v>43186</v>
      </c>
      <c r="V78" s="38">
        <v>5</v>
      </c>
      <c r="W78">
        <v>0</v>
      </c>
      <c r="X78">
        <v>0</v>
      </c>
      <c r="Y78" s="128"/>
    </row>
    <row r="79" spans="1:25" x14ac:dyDescent="0.3">
      <c r="A79" s="15">
        <v>44725</v>
      </c>
      <c r="B79">
        <v>15</v>
      </c>
      <c r="C79">
        <v>146.5</v>
      </c>
      <c r="D79">
        <f t="shared" si="8"/>
        <v>2197.5</v>
      </c>
      <c r="F79" s="15">
        <v>44725</v>
      </c>
      <c r="G79">
        <v>16</v>
      </c>
      <c r="H79">
        <v>193</v>
      </c>
      <c r="I79">
        <f t="shared" si="9"/>
        <v>3088</v>
      </c>
      <c r="K79" s="15">
        <v>44725</v>
      </c>
      <c r="L79">
        <v>10</v>
      </c>
      <c r="M79">
        <v>114.2</v>
      </c>
      <c r="N79">
        <f t="shared" si="10"/>
        <v>1142</v>
      </c>
      <c r="P79" s="112">
        <v>44728</v>
      </c>
      <c r="Q79" s="51">
        <v>25</v>
      </c>
      <c r="R79" s="51">
        <v>215.3</v>
      </c>
      <c r="S79" s="51">
        <f>Q79*R79</f>
        <v>5382.5</v>
      </c>
    </row>
    <row r="80" spans="1:25" x14ac:dyDescent="0.3">
      <c r="A80" s="15">
        <v>44728</v>
      </c>
      <c r="B80">
        <v>10</v>
      </c>
      <c r="C80">
        <v>142.5</v>
      </c>
      <c r="D80">
        <f t="shared" si="8"/>
        <v>1425</v>
      </c>
      <c r="F80" s="15">
        <v>44728</v>
      </c>
      <c r="G80">
        <v>40</v>
      </c>
      <c r="H80">
        <v>186</v>
      </c>
      <c r="I80">
        <f t="shared" si="9"/>
        <v>7440</v>
      </c>
      <c r="K80" s="15">
        <v>44726</v>
      </c>
      <c r="L80">
        <v>2</v>
      </c>
      <c r="M80">
        <v>110.15</v>
      </c>
      <c r="N80">
        <f t="shared" si="10"/>
        <v>220.3</v>
      </c>
      <c r="P80" s="15"/>
    </row>
    <row r="81" spans="1:24" x14ac:dyDescent="0.3">
      <c r="A81" s="15">
        <v>44809</v>
      </c>
      <c r="B81">
        <v>114</v>
      </c>
      <c r="C81">
        <v>136.6</v>
      </c>
      <c r="D81">
        <f t="shared" si="8"/>
        <v>15572.4</v>
      </c>
      <c r="F81" s="15">
        <v>44964</v>
      </c>
      <c r="G81">
        <v>10</v>
      </c>
      <c r="H81">
        <v>223</v>
      </c>
      <c r="I81">
        <f t="shared" si="9"/>
        <v>2230</v>
      </c>
      <c r="K81" s="15">
        <v>44728</v>
      </c>
      <c r="L81">
        <v>20</v>
      </c>
      <c r="M81">
        <v>108.8</v>
      </c>
      <c r="N81">
        <f t="shared" si="10"/>
        <v>2176</v>
      </c>
      <c r="Q81">
        <v>30</v>
      </c>
      <c r="R81">
        <v>224.3</v>
      </c>
      <c r="S81">
        <f>Q81*R81</f>
        <v>6729</v>
      </c>
      <c r="T81">
        <f>S81-S79</f>
        <v>1346.5</v>
      </c>
      <c r="V81">
        <f>SUM(V76:V80)</f>
        <v>15</v>
      </c>
      <c r="X81">
        <f>SUM(X76:X80)</f>
        <v>3425</v>
      </c>
    </row>
    <row r="82" spans="1:24" x14ac:dyDescent="0.3">
      <c r="K82" s="15">
        <v>44739</v>
      </c>
      <c r="L82">
        <v>258</v>
      </c>
      <c r="M82">
        <v>109.7</v>
      </c>
      <c r="N82">
        <f t="shared" si="10"/>
        <v>28302.600000000002</v>
      </c>
      <c r="X82">
        <f>X81/V81</f>
        <v>228.33333333333334</v>
      </c>
    </row>
    <row r="83" spans="1:24" x14ac:dyDescent="0.3">
      <c r="K83" s="15">
        <v>44740</v>
      </c>
      <c r="L83">
        <v>200</v>
      </c>
      <c r="M83">
        <v>109</v>
      </c>
      <c r="N83">
        <f t="shared" si="10"/>
        <v>21800</v>
      </c>
      <c r="Q83">
        <f>SUM(Q76:Q82)</f>
        <v>141</v>
      </c>
      <c r="S83">
        <f>SUM(S76:S82)</f>
        <v>35687.800000000003</v>
      </c>
    </row>
    <row r="84" spans="1:24" x14ac:dyDescent="0.3">
      <c r="B84">
        <f>SUM(B76:B81)</f>
        <v>228</v>
      </c>
      <c r="D84">
        <f>SUM(D76:D81)</f>
        <v>32821.4</v>
      </c>
      <c r="S84">
        <f>S83/Q83</f>
        <v>253.10496453900711</v>
      </c>
    </row>
    <row r="85" spans="1:24" x14ac:dyDescent="0.3">
      <c r="D85">
        <f>D84/B84</f>
        <v>143.95350877192982</v>
      </c>
    </row>
    <row r="86" spans="1:24" x14ac:dyDescent="0.3">
      <c r="B86">
        <v>342</v>
      </c>
      <c r="D86">
        <f>D84/B86</f>
        <v>95.969005847953227</v>
      </c>
    </row>
    <row r="88" spans="1:24" x14ac:dyDescent="0.3">
      <c r="G88">
        <f>SUM(G76:G81)</f>
        <v>116</v>
      </c>
      <c r="I88">
        <f>SUM(I76:I81)</f>
        <v>26498</v>
      </c>
    </row>
    <row r="89" spans="1:24" x14ac:dyDescent="0.3">
      <c r="I89">
        <f>I88/G88</f>
        <v>228.43103448275863</v>
      </c>
    </row>
    <row r="92" spans="1:24" x14ac:dyDescent="0.3">
      <c r="A92" s="235" t="s">
        <v>555</v>
      </c>
      <c r="B92" s="235"/>
      <c r="C92" s="235"/>
      <c r="F92" s="235" t="s">
        <v>1013</v>
      </c>
      <c r="G92" s="235"/>
      <c r="H92" s="235"/>
      <c r="K92" s="235" t="s">
        <v>1018</v>
      </c>
      <c r="L92" s="235"/>
      <c r="M92" s="235"/>
      <c r="P92" s="235" t="s">
        <v>1019</v>
      </c>
      <c r="Q92" s="235"/>
      <c r="R92" s="235"/>
    </row>
    <row r="93" spans="1:24" x14ac:dyDescent="0.3">
      <c r="A93" s="15">
        <v>44721</v>
      </c>
      <c r="B93">
        <v>5</v>
      </c>
      <c r="C93">
        <v>171</v>
      </c>
      <c r="D93">
        <f>B93*C93</f>
        <v>855</v>
      </c>
      <c r="F93" s="15">
        <v>45554</v>
      </c>
      <c r="G93">
        <v>5</v>
      </c>
      <c r="H93">
        <v>1298</v>
      </c>
      <c r="I93">
        <f>G93*H93</f>
        <v>6490</v>
      </c>
      <c r="K93" s="15">
        <v>45554</v>
      </c>
      <c r="L93">
        <v>5</v>
      </c>
      <c r="M93">
        <v>979</v>
      </c>
      <c r="N93">
        <f>L93*M93</f>
        <v>4895</v>
      </c>
      <c r="P93" s="15">
        <v>45554</v>
      </c>
      <c r="Q93">
        <v>10</v>
      </c>
      <c r="R93">
        <v>780</v>
      </c>
      <c r="S93">
        <f>Q93*R93</f>
        <v>7800</v>
      </c>
    </row>
    <row r="94" spans="1:24" x14ac:dyDescent="0.3">
      <c r="A94" s="15">
        <v>44722</v>
      </c>
      <c r="B94">
        <v>5</v>
      </c>
      <c r="C94">
        <v>169</v>
      </c>
      <c r="D94">
        <f>B94*C94</f>
        <v>845</v>
      </c>
      <c r="F94" s="15">
        <v>45555</v>
      </c>
      <c r="G94">
        <v>5</v>
      </c>
      <c r="H94">
        <v>1294</v>
      </c>
      <c r="I94">
        <f t="shared" ref="I94:I95" si="11">G94*H94</f>
        <v>6470</v>
      </c>
      <c r="L94">
        <v>5</v>
      </c>
      <c r="M94">
        <v>961</v>
      </c>
      <c r="N94">
        <f t="shared" ref="N94:N95" si="12">L94*M94</f>
        <v>4805</v>
      </c>
      <c r="P94" s="15">
        <v>45554</v>
      </c>
      <c r="Q94">
        <v>5</v>
      </c>
      <c r="R94">
        <v>775</v>
      </c>
      <c r="S94">
        <f t="shared" ref="S94:S95" si="13">Q94*R94</f>
        <v>3875</v>
      </c>
    </row>
    <row r="95" spans="1:24" x14ac:dyDescent="0.3">
      <c r="A95" s="15">
        <v>44725</v>
      </c>
      <c r="B95">
        <v>10</v>
      </c>
      <c r="C95">
        <v>166</v>
      </c>
      <c r="D95">
        <f>B95*C95</f>
        <v>1660</v>
      </c>
      <c r="F95" s="15">
        <v>45560</v>
      </c>
      <c r="G95">
        <v>10</v>
      </c>
      <c r="H95">
        <v>1223</v>
      </c>
      <c r="I95">
        <f t="shared" si="11"/>
        <v>12230</v>
      </c>
      <c r="L95">
        <v>5</v>
      </c>
      <c r="M95">
        <v>958</v>
      </c>
      <c r="N95">
        <f t="shared" si="12"/>
        <v>4790</v>
      </c>
      <c r="P95" s="15">
        <v>45554</v>
      </c>
      <c r="Q95">
        <v>10</v>
      </c>
      <c r="R95">
        <v>763</v>
      </c>
      <c r="S95">
        <f t="shared" si="13"/>
        <v>7630</v>
      </c>
    </row>
    <row r="96" spans="1:24" x14ac:dyDescent="0.3">
      <c r="A96" s="15"/>
      <c r="P96" s="15">
        <v>45555</v>
      </c>
      <c r="Q96">
        <v>10</v>
      </c>
      <c r="R96">
        <v>775</v>
      </c>
      <c r="S96">
        <f>Q96*R96</f>
        <v>7750</v>
      </c>
    </row>
    <row r="97" spans="1:19" x14ac:dyDescent="0.3">
      <c r="P97" s="15">
        <v>45561</v>
      </c>
      <c r="Q97">
        <v>10</v>
      </c>
      <c r="R97">
        <v>759</v>
      </c>
      <c r="S97">
        <f>Q97*R97</f>
        <v>7590</v>
      </c>
    </row>
    <row r="98" spans="1:19" x14ac:dyDescent="0.3">
      <c r="B98">
        <f>SUM(B93:B96)</f>
        <v>20</v>
      </c>
      <c r="D98">
        <f>SUM(D93:D97)</f>
        <v>3360</v>
      </c>
    </row>
    <row r="99" spans="1:19" x14ac:dyDescent="0.3">
      <c r="D99">
        <f>D98/B98</f>
        <v>168</v>
      </c>
    </row>
    <row r="102" spans="1:19" x14ac:dyDescent="0.3">
      <c r="A102" s="235" t="s">
        <v>1017</v>
      </c>
      <c r="B102" s="235"/>
      <c r="C102" s="235"/>
      <c r="F102" s="235" t="s">
        <v>1026</v>
      </c>
      <c r="G102" s="235"/>
      <c r="H102" s="235"/>
      <c r="K102" s="235" t="s">
        <v>1025</v>
      </c>
      <c r="L102" s="235"/>
      <c r="M102" s="235"/>
    </row>
    <row r="103" spans="1:19" x14ac:dyDescent="0.3">
      <c r="A103" s="15">
        <v>45554</v>
      </c>
      <c r="B103">
        <v>1</v>
      </c>
      <c r="C103">
        <v>2180</v>
      </c>
      <c r="D103">
        <f>B103*C103</f>
        <v>2180</v>
      </c>
      <c r="F103" s="15">
        <v>45559</v>
      </c>
      <c r="G103">
        <v>2</v>
      </c>
      <c r="H103">
        <v>1624</v>
      </c>
      <c r="I103">
        <f>G103*H103</f>
        <v>3248</v>
      </c>
      <c r="K103" s="15">
        <v>45586</v>
      </c>
      <c r="L103">
        <v>10</v>
      </c>
      <c r="M103">
        <v>551</v>
      </c>
      <c r="N103">
        <f>L103*M103</f>
        <v>5510</v>
      </c>
    </row>
    <row r="104" spans="1:19" x14ac:dyDescent="0.3">
      <c r="A104" s="15">
        <v>45555</v>
      </c>
      <c r="B104">
        <v>4</v>
      </c>
      <c r="C104">
        <v>2131</v>
      </c>
      <c r="D104">
        <f>B104*C104</f>
        <v>8524</v>
      </c>
      <c r="F104" s="15">
        <v>45560</v>
      </c>
      <c r="G104">
        <v>2</v>
      </c>
      <c r="H104">
        <v>1625</v>
      </c>
      <c r="I104">
        <f t="shared" ref="I104:I112" si="14">G104*H104</f>
        <v>3250</v>
      </c>
      <c r="K104" s="15">
        <v>45587</v>
      </c>
      <c r="L104">
        <v>13</v>
      </c>
      <c r="M104">
        <v>557</v>
      </c>
      <c r="N104">
        <f t="shared" ref="N104:N109" si="15">L104*M104</f>
        <v>7241</v>
      </c>
    </row>
    <row r="105" spans="1:19" x14ac:dyDescent="0.3">
      <c r="A105" s="15">
        <v>45560</v>
      </c>
      <c r="B105">
        <v>4</v>
      </c>
      <c r="C105">
        <v>2090</v>
      </c>
      <c r="D105">
        <f t="shared" ref="D105:D108" si="16">B105*C105</f>
        <v>8360</v>
      </c>
      <c r="F105" s="15">
        <v>45562</v>
      </c>
      <c r="G105">
        <v>8</v>
      </c>
      <c r="H105">
        <v>1593</v>
      </c>
      <c r="I105">
        <f t="shared" si="14"/>
        <v>12744</v>
      </c>
      <c r="K105" s="15">
        <v>45589</v>
      </c>
      <c r="L105">
        <v>1</v>
      </c>
      <c r="M105">
        <v>556</v>
      </c>
      <c r="N105">
        <f t="shared" si="15"/>
        <v>556</v>
      </c>
    </row>
    <row r="106" spans="1:19" x14ac:dyDescent="0.3">
      <c r="A106" s="15">
        <v>45562</v>
      </c>
      <c r="B106">
        <v>5</v>
      </c>
      <c r="C106">
        <v>2084</v>
      </c>
      <c r="D106">
        <f t="shared" si="16"/>
        <v>10420</v>
      </c>
      <c r="F106" s="15">
        <v>45568</v>
      </c>
      <c r="G106">
        <v>4</v>
      </c>
      <c r="H106">
        <v>1561</v>
      </c>
      <c r="I106">
        <f t="shared" si="14"/>
        <v>6244</v>
      </c>
      <c r="K106" s="15">
        <v>45601</v>
      </c>
      <c r="L106">
        <v>10</v>
      </c>
      <c r="M106">
        <v>541</v>
      </c>
      <c r="N106">
        <f t="shared" si="15"/>
        <v>5410</v>
      </c>
    </row>
    <row r="107" spans="1:19" x14ac:dyDescent="0.3">
      <c r="A107" s="15">
        <v>45566</v>
      </c>
      <c r="B107">
        <v>3</v>
      </c>
      <c r="C107">
        <v>2023</v>
      </c>
      <c r="D107">
        <f t="shared" si="16"/>
        <v>6069</v>
      </c>
      <c r="F107" s="15">
        <v>45573</v>
      </c>
      <c r="G107">
        <v>3</v>
      </c>
      <c r="H107">
        <v>1516</v>
      </c>
      <c r="I107">
        <f t="shared" si="14"/>
        <v>4548</v>
      </c>
      <c r="K107" s="15">
        <v>45614</v>
      </c>
      <c r="L107">
        <v>1</v>
      </c>
      <c r="M107">
        <v>545</v>
      </c>
      <c r="N107">
        <f t="shared" si="15"/>
        <v>545</v>
      </c>
    </row>
    <row r="108" spans="1:19" x14ac:dyDescent="0.3">
      <c r="A108" s="15">
        <v>45573</v>
      </c>
      <c r="B108">
        <v>3</v>
      </c>
      <c r="C108">
        <v>1987</v>
      </c>
      <c r="D108">
        <f t="shared" si="16"/>
        <v>5961</v>
      </c>
      <c r="F108" s="15">
        <v>45575</v>
      </c>
      <c r="G108">
        <v>2</v>
      </c>
      <c r="H108">
        <v>1513</v>
      </c>
      <c r="I108">
        <f t="shared" si="14"/>
        <v>3026</v>
      </c>
      <c r="K108" s="15">
        <v>45628</v>
      </c>
      <c r="L108">
        <v>35</v>
      </c>
      <c r="M108">
        <v>0</v>
      </c>
      <c r="N108">
        <f t="shared" si="15"/>
        <v>0</v>
      </c>
    </row>
    <row r="109" spans="1:19" x14ac:dyDescent="0.3">
      <c r="F109" s="15">
        <v>45587</v>
      </c>
      <c r="G109">
        <v>13</v>
      </c>
      <c r="H109">
        <v>1491</v>
      </c>
      <c r="I109">
        <f t="shared" si="14"/>
        <v>19383</v>
      </c>
      <c r="K109" s="15">
        <v>45856</v>
      </c>
      <c r="L109">
        <v>55</v>
      </c>
      <c r="M109">
        <v>270</v>
      </c>
      <c r="N109">
        <f t="shared" si="15"/>
        <v>14850</v>
      </c>
    </row>
    <row r="110" spans="1:19" x14ac:dyDescent="0.3">
      <c r="F110" s="15">
        <v>45588</v>
      </c>
      <c r="G110">
        <v>5</v>
      </c>
      <c r="H110">
        <v>1476</v>
      </c>
      <c r="I110">
        <f t="shared" si="14"/>
        <v>7380</v>
      </c>
    </row>
    <row r="111" spans="1:19" x14ac:dyDescent="0.3">
      <c r="F111" s="15">
        <v>45589</v>
      </c>
      <c r="G111">
        <v>3</v>
      </c>
      <c r="H111">
        <v>1463</v>
      </c>
      <c r="I111">
        <f t="shared" si="14"/>
        <v>4389</v>
      </c>
    </row>
    <row r="112" spans="1:19" x14ac:dyDescent="0.3">
      <c r="F112" s="15">
        <v>45856</v>
      </c>
      <c r="G112">
        <v>5</v>
      </c>
      <c r="H112">
        <v>1365</v>
      </c>
      <c r="I112">
        <f t="shared" si="14"/>
        <v>6825</v>
      </c>
      <c r="L112">
        <f>SUM(L103:L109)</f>
        <v>125</v>
      </c>
      <c r="N112">
        <f>SUM(N103:N109)</f>
        <v>34112</v>
      </c>
    </row>
    <row r="113" spans="2:14" x14ac:dyDescent="0.3">
      <c r="B113">
        <f>SUM(B103:B112)</f>
        <v>20</v>
      </c>
      <c r="D113">
        <f>SUM(D103:D111)</f>
        <v>41514</v>
      </c>
      <c r="N113">
        <f>N112/L112</f>
        <v>272.89600000000002</v>
      </c>
    </row>
    <row r="114" spans="2:14" x14ac:dyDescent="0.3">
      <c r="D114">
        <f>D113/B113</f>
        <v>2075.6999999999998</v>
      </c>
      <c r="G114">
        <v>145</v>
      </c>
      <c r="I114">
        <f>SUM(I103:I112)</f>
        <v>71037</v>
      </c>
    </row>
    <row r="115" spans="2:14" x14ac:dyDescent="0.3">
      <c r="I115">
        <f>I114/G114</f>
        <v>489.91034482758619</v>
      </c>
    </row>
  </sheetData>
  <mergeCells count="43">
    <mergeCell ref="A102:C102"/>
    <mergeCell ref="F92:H92"/>
    <mergeCell ref="K92:M92"/>
    <mergeCell ref="P92:R92"/>
    <mergeCell ref="F75:H75"/>
    <mergeCell ref="A75:C75"/>
    <mergeCell ref="K75:M75"/>
    <mergeCell ref="A92:C92"/>
    <mergeCell ref="F102:H102"/>
    <mergeCell ref="K102:M102"/>
    <mergeCell ref="K64:M64"/>
    <mergeCell ref="F64:H64"/>
    <mergeCell ref="A64:C64"/>
    <mergeCell ref="BD1:BF1"/>
    <mergeCell ref="AE15:AG15"/>
    <mergeCell ref="Z15:AB15"/>
    <mergeCell ref="F35:H35"/>
    <mergeCell ref="P64:R64"/>
    <mergeCell ref="Z21:AB21"/>
    <mergeCell ref="AE21:AG21"/>
    <mergeCell ref="AJ21:AL21"/>
    <mergeCell ref="AO21:AQ21"/>
    <mergeCell ref="P13:R13"/>
    <mergeCell ref="A52:C52"/>
    <mergeCell ref="A35:C35"/>
    <mergeCell ref="AY1:BA1"/>
    <mergeCell ref="F52:H52"/>
    <mergeCell ref="K52:M52"/>
    <mergeCell ref="A1:C1"/>
    <mergeCell ref="F1:H1"/>
    <mergeCell ref="K1:M1"/>
    <mergeCell ref="U75:W75"/>
    <mergeCell ref="U64:W64"/>
    <mergeCell ref="AO1:AQ1"/>
    <mergeCell ref="AT1:AV1"/>
    <mergeCell ref="P1:R1"/>
    <mergeCell ref="U1:W1"/>
    <mergeCell ref="Z1:AB1"/>
    <mergeCell ref="AE1:AG1"/>
    <mergeCell ref="AJ1:AL1"/>
    <mergeCell ref="P75:R75"/>
    <mergeCell ref="P52:R52"/>
    <mergeCell ref="U52:W5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V74"/>
  <sheetViews>
    <sheetView tabSelected="1" zoomScaleNormal="100" workbookViewId="0">
      <selection activeCell="C45" sqref="C45"/>
    </sheetView>
  </sheetViews>
  <sheetFormatPr defaultRowHeight="14.4" x14ac:dyDescent="0.3"/>
  <cols>
    <col min="1" max="1" width="11" bestFit="1" customWidth="1"/>
    <col min="2" max="2" width="54.109375" customWidth="1"/>
    <col min="3" max="3" width="16.5546875" customWidth="1"/>
    <col min="4" max="4" width="17.21875" customWidth="1"/>
    <col min="5" max="5" width="9.88671875" bestFit="1" customWidth="1"/>
    <col min="6" max="6" width="10.88671875" customWidth="1"/>
    <col min="8" max="8" width="13.77734375" customWidth="1"/>
    <col min="9" max="9" width="17.44140625" customWidth="1"/>
    <col min="10" max="10" width="12.33203125" bestFit="1" customWidth="1"/>
    <col min="11" max="11" width="29.109375" customWidth="1"/>
    <col min="12" max="12" width="11" bestFit="1" customWidth="1"/>
    <col min="15" max="15" width="9.44140625" bestFit="1" customWidth="1"/>
  </cols>
  <sheetData>
    <row r="1" spans="1:22" x14ac:dyDescent="0.3">
      <c r="A1" s="2" t="s">
        <v>23</v>
      </c>
      <c r="B1" s="2" t="s">
        <v>24</v>
      </c>
      <c r="C1" s="2" t="s">
        <v>25</v>
      </c>
    </row>
    <row r="2" spans="1:22" x14ac:dyDescent="0.3">
      <c r="B2" t="s">
        <v>26</v>
      </c>
      <c r="C2" t="s">
        <v>1088</v>
      </c>
      <c r="H2" t="s">
        <v>31</v>
      </c>
      <c r="I2">
        <v>1703815000</v>
      </c>
      <c r="K2">
        <v>124</v>
      </c>
    </row>
    <row r="3" spans="1:22" x14ac:dyDescent="0.3">
      <c r="B3" t="s">
        <v>28</v>
      </c>
      <c r="C3" t="s">
        <v>1088</v>
      </c>
      <c r="D3" t="s">
        <v>923</v>
      </c>
      <c r="E3">
        <v>1078</v>
      </c>
      <c r="H3" t="s">
        <v>32</v>
      </c>
      <c r="I3">
        <v>6503815000</v>
      </c>
      <c r="K3">
        <v>60</v>
      </c>
    </row>
    <row r="4" spans="1:22" x14ac:dyDescent="0.3">
      <c r="A4" t="s">
        <v>42</v>
      </c>
      <c r="B4">
        <v>100091921</v>
      </c>
      <c r="C4" t="s">
        <v>1071</v>
      </c>
      <c r="D4" t="s">
        <v>112</v>
      </c>
      <c r="H4" t="s">
        <v>33</v>
      </c>
      <c r="I4">
        <v>5703815000</v>
      </c>
      <c r="K4">
        <v>185</v>
      </c>
    </row>
    <row r="5" spans="1:22" x14ac:dyDescent="0.3">
      <c r="B5">
        <v>100091939</v>
      </c>
      <c r="C5" t="s">
        <v>1071</v>
      </c>
      <c r="D5" t="s">
        <v>111</v>
      </c>
      <c r="H5" t="s">
        <v>34</v>
      </c>
      <c r="I5">
        <v>5413815000</v>
      </c>
      <c r="J5" t="s">
        <v>819</v>
      </c>
      <c r="K5">
        <v>534</v>
      </c>
      <c r="V5" s="51"/>
    </row>
    <row r="6" spans="1:22" x14ac:dyDescent="0.3">
      <c r="B6">
        <v>327068957</v>
      </c>
      <c r="C6" t="s">
        <v>1071</v>
      </c>
      <c r="D6" t="s">
        <v>1020</v>
      </c>
      <c r="H6" t="s">
        <v>35</v>
      </c>
      <c r="I6">
        <v>2413815000</v>
      </c>
      <c r="K6">
        <v>166</v>
      </c>
      <c r="L6" t="s">
        <v>959</v>
      </c>
      <c r="M6" t="s">
        <v>38</v>
      </c>
    </row>
    <row r="7" spans="1:22" x14ac:dyDescent="0.3">
      <c r="A7" t="s">
        <v>988</v>
      </c>
      <c r="B7" t="s">
        <v>974</v>
      </c>
      <c r="C7" t="s">
        <v>46</v>
      </c>
    </row>
    <row r="8" spans="1:22" x14ac:dyDescent="0.3">
      <c r="A8" t="s">
        <v>832</v>
      </c>
      <c r="B8" s="5" t="s">
        <v>98</v>
      </c>
      <c r="C8" t="s">
        <v>1057</v>
      </c>
      <c r="H8" t="s">
        <v>29</v>
      </c>
      <c r="I8" t="s">
        <v>39</v>
      </c>
      <c r="J8" t="s">
        <v>37</v>
      </c>
      <c r="L8">
        <v>1600210906</v>
      </c>
    </row>
    <row r="9" spans="1:22" x14ac:dyDescent="0.3">
      <c r="A9" t="s">
        <v>989</v>
      </c>
      <c r="B9" t="s">
        <v>990</v>
      </c>
      <c r="C9" t="s">
        <v>1139</v>
      </c>
      <c r="H9" t="s">
        <v>30</v>
      </c>
      <c r="I9" t="s">
        <v>36</v>
      </c>
      <c r="J9" t="s">
        <v>40</v>
      </c>
      <c r="K9" t="s">
        <v>38</v>
      </c>
      <c r="L9">
        <v>1600165842</v>
      </c>
    </row>
    <row r="11" spans="1:22" x14ac:dyDescent="0.3">
      <c r="A11" t="s">
        <v>225</v>
      </c>
      <c r="B11" t="s">
        <v>28</v>
      </c>
      <c r="C11" s="5" t="s">
        <v>1165</v>
      </c>
      <c r="D11" t="s">
        <v>54</v>
      </c>
      <c r="H11" t="s">
        <v>1047</v>
      </c>
      <c r="I11" t="s">
        <v>1169</v>
      </c>
      <c r="J11">
        <v>1600165842</v>
      </c>
    </row>
    <row r="12" spans="1:22" x14ac:dyDescent="0.3">
      <c r="A12" t="s">
        <v>786</v>
      </c>
      <c r="B12">
        <v>9008255262</v>
      </c>
      <c r="C12" t="s">
        <v>921</v>
      </c>
      <c r="H12" t="s">
        <v>1168</v>
      </c>
      <c r="I12" t="s">
        <v>1048</v>
      </c>
      <c r="J12">
        <v>1600210906</v>
      </c>
    </row>
    <row r="13" spans="1:22" x14ac:dyDescent="0.3">
      <c r="A13" t="s">
        <v>782</v>
      </c>
      <c r="B13" s="133" t="s">
        <v>814</v>
      </c>
      <c r="C13" t="s">
        <v>793</v>
      </c>
      <c r="H13" s="3" t="s">
        <v>74</v>
      </c>
      <c r="I13" t="s">
        <v>183</v>
      </c>
      <c r="J13" s="4">
        <v>1600216766</v>
      </c>
      <c r="K13">
        <v>7875643915</v>
      </c>
      <c r="L13">
        <v>7271</v>
      </c>
    </row>
    <row r="14" spans="1:22" x14ac:dyDescent="0.3">
      <c r="A14" t="s">
        <v>957</v>
      </c>
      <c r="B14" s="5" t="s">
        <v>958</v>
      </c>
      <c r="C14" t="s">
        <v>947</v>
      </c>
      <c r="H14" t="s">
        <v>75</v>
      </c>
      <c r="I14">
        <v>6560125000</v>
      </c>
      <c r="J14" t="s">
        <v>76</v>
      </c>
      <c r="K14" t="s">
        <v>972</v>
      </c>
    </row>
    <row r="15" spans="1:22" x14ac:dyDescent="0.3">
      <c r="B15" s="5" t="s">
        <v>1036</v>
      </c>
      <c r="C15" t="s">
        <v>947</v>
      </c>
      <c r="H15" t="s">
        <v>91</v>
      </c>
      <c r="I15">
        <v>5860125000</v>
      </c>
      <c r="K15" t="s">
        <v>971</v>
      </c>
    </row>
    <row r="16" spans="1:22" x14ac:dyDescent="0.3">
      <c r="B16" s="5" t="s">
        <v>1037</v>
      </c>
      <c r="C16" t="s">
        <v>947</v>
      </c>
      <c r="H16" t="s">
        <v>1005</v>
      </c>
      <c r="I16" t="s">
        <v>978</v>
      </c>
    </row>
    <row r="17" spans="1:15" x14ac:dyDescent="0.3">
      <c r="B17" s="5" t="s">
        <v>1049</v>
      </c>
      <c r="C17" t="s">
        <v>947</v>
      </c>
    </row>
    <row r="18" spans="1:15" x14ac:dyDescent="0.3">
      <c r="A18" t="s">
        <v>248</v>
      </c>
      <c r="B18" s="5" t="s">
        <v>49</v>
      </c>
      <c r="C18" t="s">
        <v>1038</v>
      </c>
      <c r="H18" s="3">
        <v>3507</v>
      </c>
      <c r="I18" t="s">
        <v>1003</v>
      </c>
      <c r="J18" s="4">
        <v>1600238922</v>
      </c>
      <c r="K18">
        <v>9604273252</v>
      </c>
      <c r="L18" s="51">
        <v>11018</v>
      </c>
    </row>
    <row r="19" spans="1:15" x14ac:dyDescent="0.3">
      <c r="B19" s="5" t="s">
        <v>121</v>
      </c>
      <c r="C19" t="s">
        <v>118</v>
      </c>
      <c r="H19" t="s">
        <v>976</v>
      </c>
      <c r="I19">
        <v>8778115000</v>
      </c>
      <c r="J19" t="s">
        <v>77</v>
      </c>
      <c r="K19" t="s">
        <v>973</v>
      </c>
    </row>
    <row r="20" spans="1:15" x14ac:dyDescent="0.3">
      <c r="B20" s="5" t="s">
        <v>966</v>
      </c>
      <c r="C20" t="s">
        <v>967</v>
      </c>
      <c r="H20" t="s">
        <v>79</v>
      </c>
      <c r="I20">
        <v>6968115000</v>
      </c>
      <c r="J20" t="s">
        <v>78</v>
      </c>
      <c r="K20" t="s">
        <v>975</v>
      </c>
    </row>
    <row r="21" spans="1:15" x14ac:dyDescent="0.3">
      <c r="A21" t="s">
        <v>124</v>
      </c>
      <c r="B21" s="5" t="s">
        <v>69</v>
      </c>
      <c r="C21" t="s">
        <v>54</v>
      </c>
      <c r="H21" t="s">
        <v>977</v>
      </c>
      <c r="I21">
        <v>8098115000</v>
      </c>
      <c r="K21" t="s">
        <v>971</v>
      </c>
    </row>
    <row r="22" spans="1:15" x14ac:dyDescent="0.3">
      <c r="A22" t="s">
        <v>116</v>
      </c>
      <c r="B22" s="5" t="s">
        <v>94</v>
      </c>
      <c r="C22" t="s">
        <v>46</v>
      </c>
      <c r="H22" t="s">
        <v>994</v>
      </c>
      <c r="I22">
        <v>8778115000</v>
      </c>
      <c r="K22" t="s">
        <v>972</v>
      </c>
      <c r="O22" s="15"/>
    </row>
    <row r="23" spans="1:15" x14ac:dyDescent="0.3">
      <c r="B23" s="5" t="s">
        <v>115</v>
      </c>
      <c r="C23" t="s">
        <v>73</v>
      </c>
      <c r="H23" t="s">
        <v>979</v>
      </c>
      <c r="I23" t="s">
        <v>978</v>
      </c>
    </row>
    <row r="24" spans="1:15" x14ac:dyDescent="0.3">
      <c r="B24" s="5" t="s">
        <v>63</v>
      </c>
      <c r="C24" t="s">
        <v>46</v>
      </c>
      <c r="O24" s="15"/>
    </row>
    <row r="25" spans="1:15" x14ac:dyDescent="0.3">
      <c r="B25" s="5" t="s">
        <v>49</v>
      </c>
      <c r="C25" t="s">
        <v>118</v>
      </c>
      <c r="H25" s="3">
        <v>4269</v>
      </c>
      <c r="J25" s="4">
        <v>1600165842</v>
      </c>
      <c r="L25" s="51">
        <v>7212</v>
      </c>
    </row>
    <row r="26" spans="1:15" x14ac:dyDescent="0.3">
      <c r="B26" s="5" t="s">
        <v>117</v>
      </c>
      <c r="C26" t="s">
        <v>38</v>
      </c>
      <c r="H26" s="3" t="s">
        <v>1047</v>
      </c>
      <c r="I26" t="s">
        <v>1048</v>
      </c>
      <c r="J26" s="4">
        <v>1600210906</v>
      </c>
      <c r="L26" s="51">
        <v>1939</v>
      </c>
    </row>
    <row r="27" spans="1:15" x14ac:dyDescent="0.3">
      <c r="B27" s="5" t="s">
        <v>121</v>
      </c>
      <c r="C27" t="s">
        <v>73</v>
      </c>
    </row>
    <row r="28" spans="1:15" x14ac:dyDescent="0.3">
      <c r="B28" s="5" t="s">
        <v>922</v>
      </c>
      <c r="C28" t="s">
        <v>54</v>
      </c>
    </row>
    <row r="29" spans="1:15" x14ac:dyDescent="0.3">
      <c r="B29" s="5"/>
    </row>
    <row r="30" spans="1:15" x14ac:dyDescent="0.3">
      <c r="A30" t="s">
        <v>1087</v>
      </c>
      <c r="B30" s="5">
        <v>479223203</v>
      </c>
      <c r="C30" t="s">
        <v>118</v>
      </c>
    </row>
    <row r="31" spans="1:15" x14ac:dyDescent="0.3">
      <c r="B31" s="5"/>
    </row>
    <row r="32" spans="1:15" x14ac:dyDescent="0.3">
      <c r="B32" s="5"/>
      <c r="H32" s="3" t="s">
        <v>80</v>
      </c>
      <c r="I32" t="s">
        <v>184</v>
      </c>
    </row>
    <row r="33" spans="1:12" x14ac:dyDescent="0.3">
      <c r="A33" t="s">
        <v>1004</v>
      </c>
      <c r="B33" s="5" t="s">
        <v>49</v>
      </c>
      <c r="C33" t="s">
        <v>1173</v>
      </c>
      <c r="D33" t="s">
        <v>1006</v>
      </c>
      <c r="E33" t="s">
        <v>1007</v>
      </c>
      <c r="H33" t="s">
        <v>82</v>
      </c>
      <c r="I33">
        <v>7878015000</v>
      </c>
      <c r="J33" t="s">
        <v>81</v>
      </c>
    </row>
    <row r="34" spans="1:12" x14ac:dyDescent="0.3">
      <c r="A34" t="s">
        <v>244</v>
      </c>
      <c r="B34" t="s">
        <v>245</v>
      </c>
      <c r="C34" t="s">
        <v>246</v>
      </c>
      <c r="H34" s="3" t="s">
        <v>83</v>
      </c>
      <c r="I34" t="s">
        <v>968</v>
      </c>
      <c r="J34" s="4">
        <v>1600240227</v>
      </c>
      <c r="L34">
        <v>5590</v>
      </c>
    </row>
    <row r="35" spans="1:12" x14ac:dyDescent="0.3">
      <c r="A35" t="s">
        <v>1056</v>
      </c>
      <c r="B35" s="141" t="s">
        <v>28</v>
      </c>
      <c r="C35" t="s">
        <v>54</v>
      </c>
      <c r="H35" t="s">
        <v>87</v>
      </c>
      <c r="I35">
        <v>1133915000</v>
      </c>
      <c r="J35" t="s">
        <v>84</v>
      </c>
    </row>
    <row r="36" spans="1:12" x14ac:dyDescent="0.3">
      <c r="A36" t="s">
        <v>1023</v>
      </c>
      <c r="B36" s="141">
        <v>100260119784</v>
      </c>
      <c r="C36" t="s">
        <v>46</v>
      </c>
      <c r="H36" t="s">
        <v>86</v>
      </c>
      <c r="I36">
        <v>6323915000</v>
      </c>
      <c r="J36" t="s">
        <v>85</v>
      </c>
      <c r="K36" t="s">
        <v>213</v>
      </c>
    </row>
    <row r="37" spans="1:12" x14ac:dyDescent="0.3">
      <c r="A37" t="s">
        <v>96</v>
      </c>
      <c r="B37" t="s">
        <v>28</v>
      </c>
      <c r="C37" t="s">
        <v>1065</v>
      </c>
      <c r="H37" t="s">
        <v>89</v>
      </c>
      <c r="I37">
        <v>4729522213</v>
      </c>
      <c r="J37" t="s">
        <v>88</v>
      </c>
    </row>
    <row r="38" spans="1:12" x14ac:dyDescent="0.3">
      <c r="A38" t="s">
        <v>380</v>
      </c>
      <c r="B38" s="5" t="s">
        <v>49</v>
      </c>
      <c r="C38" t="s">
        <v>955</v>
      </c>
    </row>
    <row r="39" spans="1:12" x14ac:dyDescent="0.3">
      <c r="A39" t="s">
        <v>106</v>
      </c>
      <c r="B39" t="s">
        <v>28</v>
      </c>
      <c r="C39" t="s">
        <v>1038</v>
      </c>
      <c r="H39" t="s">
        <v>915</v>
      </c>
      <c r="I39">
        <v>1600907563</v>
      </c>
      <c r="K39">
        <v>4391523626</v>
      </c>
    </row>
    <row r="40" spans="1:12" x14ac:dyDescent="0.3">
      <c r="A40" t="s">
        <v>1069</v>
      </c>
      <c r="B40">
        <v>9008255262</v>
      </c>
      <c r="C40" t="s">
        <v>54</v>
      </c>
      <c r="D40" s="5" t="s">
        <v>1070</v>
      </c>
      <c r="H40" t="s">
        <v>916</v>
      </c>
      <c r="I40">
        <v>1600775883</v>
      </c>
      <c r="J40" t="s">
        <v>917</v>
      </c>
      <c r="K40">
        <v>2454721753</v>
      </c>
    </row>
    <row r="41" spans="1:12" x14ac:dyDescent="0.3">
      <c r="A41" t="s">
        <v>946</v>
      </c>
      <c r="B41" s="5" t="s">
        <v>49</v>
      </c>
      <c r="C41" t="s">
        <v>947</v>
      </c>
    </row>
    <row r="42" spans="1:12" x14ac:dyDescent="0.3">
      <c r="I42">
        <v>786101134964</v>
      </c>
    </row>
    <row r="43" spans="1:12" x14ac:dyDescent="0.3">
      <c r="A43" t="s">
        <v>125</v>
      </c>
      <c r="B43" s="5" t="s">
        <v>69</v>
      </c>
      <c r="C43">
        <v>6360799936</v>
      </c>
    </row>
    <row r="44" spans="1:12" x14ac:dyDescent="0.3">
      <c r="B44" t="s">
        <v>54</v>
      </c>
    </row>
    <row r="45" spans="1:12" x14ac:dyDescent="0.3">
      <c r="A45" t="s">
        <v>1221</v>
      </c>
      <c r="B45" t="s">
        <v>1222</v>
      </c>
      <c r="C45" t="s">
        <v>54</v>
      </c>
    </row>
    <row r="46" spans="1:12" x14ac:dyDescent="0.3">
      <c r="A46" t="s">
        <v>1089</v>
      </c>
      <c r="B46" t="s">
        <v>1093</v>
      </c>
      <c r="C46" t="s">
        <v>1090</v>
      </c>
      <c r="D46" t="s">
        <v>1020</v>
      </c>
    </row>
    <row r="47" spans="1:12" x14ac:dyDescent="0.3">
      <c r="B47" t="s">
        <v>1091</v>
      </c>
      <c r="C47" t="s">
        <v>1090</v>
      </c>
      <c r="D47" t="s">
        <v>1092</v>
      </c>
    </row>
    <row r="48" spans="1:12" x14ac:dyDescent="0.3">
      <c r="A48" s="3"/>
    </row>
    <row r="49" spans="1:8" x14ac:dyDescent="0.3">
      <c r="A49" t="s">
        <v>106</v>
      </c>
      <c r="B49" t="s">
        <v>200</v>
      </c>
    </row>
    <row r="50" spans="1:8" ht="15" x14ac:dyDescent="0.35">
      <c r="B50" s="44" t="s">
        <v>201</v>
      </c>
      <c r="C50" s="44" t="s">
        <v>202</v>
      </c>
      <c r="D50" s="44" t="s">
        <v>203</v>
      </c>
      <c r="E50" s="44" t="s">
        <v>204</v>
      </c>
      <c r="F50" s="44" t="s">
        <v>205</v>
      </c>
      <c r="G50" s="44" t="s">
        <v>206</v>
      </c>
      <c r="H50" s="172" t="s">
        <v>1022</v>
      </c>
    </row>
    <row r="51" spans="1:8" ht="15" x14ac:dyDescent="0.35">
      <c r="A51" t="s">
        <v>210</v>
      </c>
      <c r="B51" s="45">
        <v>614014850</v>
      </c>
      <c r="C51" s="45">
        <v>3411</v>
      </c>
      <c r="D51" s="45">
        <v>100000</v>
      </c>
      <c r="E51" s="45" t="s">
        <v>208</v>
      </c>
      <c r="F51" s="46">
        <v>37082</v>
      </c>
      <c r="G51" s="45" t="s">
        <v>207</v>
      </c>
    </row>
    <row r="52" spans="1:8" ht="15" x14ac:dyDescent="0.35">
      <c r="A52" t="s">
        <v>209</v>
      </c>
      <c r="B52" s="45">
        <v>614014849</v>
      </c>
      <c r="C52" s="45">
        <v>7684</v>
      </c>
      <c r="D52" s="45">
        <v>100000</v>
      </c>
      <c r="E52" s="45" t="s">
        <v>208</v>
      </c>
      <c r="F52" s="46">
        <v>37082</v>
      </c>
      <c r="G52" s="45" t="s">
        <v>207</v>
      </c>
      <c r="H52" s="171">
        <v>46302</v>
      </c>
    </row>
    <row r="53" spans="1:8" ht="15" x14ac:dyDescent="0.35">
      <c r="B53" s="45"/>
      <c r="C53" s="45"/>
      <c r="D53" s="45"/>
      <c r="E53" s="45"/>
      <c r="F53" s="45"/>
      <c r="G53" s="45"/>
    </row>
    <row r="55" spans="1:8" ht="15" x14ac:dyDescent="0.35">
      <c r="E55" s="47" t="s">
        <v>211</v>
      </c>
    </row>
    <row r="56" spans="1:8" ht="15" x14ac:dyDescent="0.35">
      <c r="C56" s="47">
        <v>1</v>
      </c>
      <c r="D56" s="20">
        <v>37082</v>
      </c>
    </row>
    <row r="57" spans="1:8" ht="15" x14ac:dyDescent="0.35">
      <c r="B57">
        <v>614010708</v>
      </c>
      <c r="C57" s="47">
        <v>2</v>
      </c>
      <c r="D57" s="20">
        <v>37447</v>
      </c>
      <c r="G57">
        <v>7271</v>
      </c>
    </row>
    <row r="58" spans="1:8" ht="15" x14ac:dyDescent="0.35">
      <c r="C58" s="47">
        <v>3</v>
      </c>
      <c r="D58" s="20">
        <v>37812</v>
      </c>
      <c r="G58">
        <v>5590</v>
      </c>
    </row>
    <row r="59" spans="1:8" ht="15" x14ac:dyDescent="0.35">
      <c r="C59" s="47">
        <v>4</v>
      </c>
      <c r="D59" s="20">
        <v>38178</v>
      </c>
      <c r="E59">
        <v>1</v>
      </c>
      <c r="F59">
        <v>50000</v>
      </c>
      <c r="G59">
        <f>SUM(G57:G58)</f>
        <v>12861</v>
      </c>
      <c r="H59">
        <f>F59-G59</f>
        <v>37139</v>
      </c>
    </row>
    <row r="60" spans="1:8" ht="15" x14ac:dyDescent="0.35">
      <c r="C60" s="47">
        <v>5</v>
      </c>
      <c r="D60" s="20">
        <v>38543</v>
      </c>
    </row>
    <row r="61" spans="1:8" ht="15" x14ac:dyDescent="0.35">
      <c r="C61" s="47">
        <v>6</v>
      </c>
      <c r="D61" s="20">
        <v>38908</v>
      </c>
    </row>
    <row r="62" spans="1:8" ht="15" x14ac:dyDescent="0.35">
      <c r="C62" s="47">
        <v>7</v>
      </c>
      <c r="D62" s="20">
        <v>39273</v>
      </c>
    </row>
    <row r="63" spans="1:8" ht="15" x14ac:dyDescent="0.35">
      <c r="C63" s="47">
        <v>8</v>
      </c>
      <c r="D63" s="20">
        <v>39639</v>
      </c>
      <c r="E63">
        <v>1</v>
      </c>
    </row>
    <row r="64" spans="1:8" ht="15" x14ac:dyDescent="0.35">
      <c r="C64" s="47">
        <v>9</v>
      </c>
      <c r="D64" s="20">
        <v>40004</v>
      </c>
    </row>
    <row r="65" spans="3:5" ht="15" x14ac:dyDescent="0.35">
      <c r="C65" s="47">
        <v>10</v>
      </c>
      <c r="D65" s="20">
        <v>40369</v>
      </c>
    </row>
    <row r="66" spans="3:5" ht="15" x14ac:dyDescent="0.35">
      <c r="C66" s="47">
        <v>11</v>
      </c>
      <c r="D66" s="20">
        <v>40734</v>
      </c>
    </row>
    <row r="67" spans="3:5" ht="15" x14ac:dyDescent="0.35">
      <c r="C67" s="47">
        <v>12</v>
      </c>
      <c r="D67" s="20">
        <v>41100</v>
      </c>
      <c r="E67">
        <v>1</v>
      </c>
    </row>
    <row r="68" spans="3:5" ht="15" x14ac:dyDescent="0.35">
      <c r="C68" s="47">
        <v>13</v>
      </c>
      <c r="D68" s="20">
        <v>41465</v>
      </c>
    </row>
    <row r="69" spans="3:5" ht="15" x14ac:dyDescent="0.35">
      <c r="C69" s="47">
        <v>14</v>
      </c>
      <c r="D69" s="20">
        <v>41830</v>
      </c>
    </row>
    <row r="70" spans="3:5" ht="15" x14ac:dyDescent="0.35">
      <c r="C70" s="47">
        <v>15</v>
      </c>
      <c r="D70" s="20">
        <v>42195</v>
      </c>
      <c r="E70">
        <v>1</v>
      </c>
    </row>
    <row r="71" spans="3:5" ht="15" x14ac:dyDescent="0.35">
      <c r="C71" s="47">
        <v>16</v>
      </c>
      <c r="D71" s="20">
        <v>42561</v>
      </c>
    </row>
    <row r="72" spans="3:5" ht="15" x14ac:dyDescent="0.35">
      <c r="C72" s="47">
        <v>17</v>
      </c>
      <c r="D72" s="20">
        <v>42926</v>
      </c>
    </row>
    <row r="73" spans="3:5" ht="15" x14ac:dyDescent="0.35">
      <c r="C73" s="47">
        <v>18</v>
      </c>
      <c r="D73" s="20">
        <v>43291</v>
      </c>
      <c r="E73">
        <v>1</v>
      </c>
    </row>
    <row r="74" spans="3:5" ht="15" x14ac:dyDescent="0.35">
      <c r="C74" s="47">
        <v>19</v>
      </c>
      <c r="D74" s="20">
        <v>43656</v>
      </c>
    </row>
  </sheetData>
  <hyperlinks>
    <hyperlink ref="B22" r:id="rId1" xr:uid="{00000000-0004-0000-0700-000000000000}"/>
    <hyperlink ref="B23" r:id="rId2" xr:uid="{00000000-0004-0000-0700-000001000000}"/>
    <hyperlink ref="B24" r:id="rId3" xr:uid="{00000000-0004-0000-0700-000002000000}"/>
    <hyperlink ref="B25" r:id="rId4" xr:uid="{00000000-0004-0000-0700-000003000000}"/>
    <hyperlink ref="B26" r:id="rId5" xr:uid="{00000000-0004-0000-0700-000004000000}"/>
    <hyperlink ref="B27" r:id="rId6" xr:uid="{00000000-0004-0000-0700-000006000000}"/>
    <hyperlink ref="B21" r:id="rId7" xr:uid="{00000000-0004-0000-0700-000007000000}"/>
    <hyperlink ref="B43" r:id="rId8" xr:uid="{00000000-0004-0000-0700-000008000000}"/>
    <hyperlink ref="B19" r:id="rId9" xr:uid="{00000000-0004-0000-0700-00000A000000}"/>
    <hyperlink ref="B18" r:id="rId10" xr:uid="{59E9F031-4C85-42B4-8A90-93F8729DC555}"/>
    <hyperlink ref="B28" r:id="rId11" xr:uid="{28009F1A-594B-4BE6-8BF8-E7CB1C2449E3}"/>
    <hyperlink ref="B41" r:id="rId12" xr:uid="{BCDCBFDC-D70E-4A7E-9E86-525B9F6E007B}"/>
    <hyperlink ref="B38" r:id="rId13" xr:uid="{0006A2C8-6F39-4F41-9E75-8ADFD1ED7A5D}"/>
    <hyperlink ref="B14" r:id="rId14" xr:uid="{04C64680-AA94-4672-8D81-3644022E0742}"/>
    <hyperlink ref="B20" r:id="rId15" xr:uid="{1F6FB3A9-43A7-4467-9B83-066589BA5049}"/>
    <hyperlink ref="B33" r:id="rId16" xr:uid="{BE46C86D-534A-40E2-9ABC-3023B4A8D1A2}"/>
    <hyperlink ref="B15" r:id="rId17" xr:uid="{1C2B475C-18EB-4210-B2F8-71DB76FB342B}"/>
    <hyperlink ref="B16" r:id="rId18" xr:uid="{433947FE-3B09-4CC4-B307-ECC7CEC858A5}"/>
    <hyperlink ref="B17" r:id="rId19" xr:uid="{77BB0D04-21EC-490F-A29F-63D9AF0C6C71}"/>
    <hyperlink ref="D40" r:id="rId20" xr:uid="{90359628-40E1-4365-A8E6-3ADC58D0D113}"/>
  </hyperlinks>
  <pageMargins left="0.7" right="0.7" top="0.75" bottom="0.75" header="0.3" footer="0.3"/>
  <pageSetup paperSize="9" orientation="portrait" r:id="rId21"/>
  <legacy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62"/>
  <sheetViews>
    <sheetView workbookViewId="0">
      <selection activeCell="G15" sqref="G15"/>
    </sheetView>
  </sheetViews>
  <sheetFormatPr defaultRowHeight="14.4" x14ac:dyDescent="0.3"/>
  <cols>
    <col min="1" max="1" width="26.33203125" bestFit="1" customWidth="1"/>
    <col min="5" max="5" width="23.33203125" bestFit="1" customWidth="1"/>
    <col min="7" max="7" width="10.5546875" bestFit="1" customWidth="1"/>
    <col min="8" max="8" width="17.6640625" customWidth="1"/>
    <col min="9" max="9" width="23.88671875" bestFit="1" customWidth="1"/>
    <col min="10" max="11" width="15" customWidth="1"/>
    <col min="12" max="12" width="17.44140625" customWidth="1"/>
    <col min="13" max="13" width="13.6640625" bestFit="1" customWidth="1"/>
  </cols>
  <sheetData>
    <row r="1" spans="1:15" x14ac:dyDescent="0.3">
      <c r="A1" t="s">
        <v>43</v>
      </c>
      <c r="E1" s="4" t="s">
        <v>90</v>
      </c>
      <c r="H1" t="s">
        <v>980</v>
      </c>
      <c r="I1" t="s">
        <v>981</v>
      </c>
      <c r="J1" t="s">
        <v>25</v>
      </c>
      <c r="K1" t="s">
        <v>987</v>
      </c>
      <c r="L1" t="s">
        <v>982</v>
      </c>
      <c r="M1" t="s">
        <v>983</v>
      </c>
    </row>
    <row r="2" spans="1:15" x14ac:dyDescent="0.3">
      <c r="A2" t="s">
        <v>44</v>
      </c>
      <c r="E2" s="5" t="s">
        <v>49</v>
      </c>
      <c r="G2" t="s">
        <v>940</v>
      </c>
      <c r="H2">
        <v>1035138323</v>
      </c>
      <c r="I2" t="s">
        <v>28</v>
      </c>
      <c r="J2" t="s">
        <v>73</v>
      </c>
      <c r="L2" s="14">
        <v>887909.31</v>
      </c>
      <c r="M2" s="14">
        <v>1166206.1200000001</v>
      </c>
      <c r="O2">
        <f>M2-L2</f>
        <v>278296.81000000006</v>
      </c>
    </row>
    <row r="3" spans="1:15" x14ac:dyDescent="0.3">
      <c r="A3" t="s">
        <v>45</v>
      </c>
      <c r="E3" t="s">
        <v>46</v>
      </c>
      <c r="G3" s="4" t="s">
        <v>336</v>
      </c>
      <c r="H3">
        <v>1035138323</v>
      </c>
      <c r="I3" t="s">
        <v>986</v>
      </c>
      <c r="J3" t="s">
        <v>57</v>
      </c>
      <c r="L3" s="14">
        <v>1189940</v>
      </c>
      <c r="M3" s="14">
        <v>1239464.8799999999</v>
      </c>
      <c r="O3">
        <f t="shared" ref="O3:O10" si="0">M3-L3</f>
        <v>49524.879999999888</v>
      </c>
    </row>
    <row r="4" spans="1:15" x14ac:dyDescent="0.3">
      <c r="G4" s="4" t="s">
        <v>945</v>
      </c>
      <c r="H4">
        <v>9021263714</v>
      </c>
      <c r="I4" t="s">
        <v>986</v>
      </c>
      <c r="L4" s="14">
        <v>1189944</v>
      </c>
      <c r="M4" s="14">
        <v>1244624.9099999999</v>
      </c>
      <c r="O4">
        <f t="shared" si="0"/>
        <v>54680.909999999916</v>
      </c>
    </row>
    <row r="5" spans="1:15" x14ac:dyDescent="0.3">
      <c r="G5" t="s">
        <v>60</v>
      </c>
      <c r="H5">
        <v>20788619</v>
      </c>
      <c r="I5" t="s">
        <v>843</v>
      </c>
      <c r="J5" t="s">
        <v>932</v>
      </c>
      <c r="L5" s="14">
        <v>572786</v>
      </c>
      <c r="M5" s="14">
        <v>715214.27</v>
      </c>
      <c r="O5">
        <f t="shared" si="0"/>
        <v>142428.27000000002</v>
      </c>
    </row>
    <row r="6" spans="1:15" x14ac:dyDescent="0.3">
      <c r="A6" t="s">
        <v>47</v>
      </c>
      <c r="E6" s="4" t="s">
        <v>50</v>
      </c>
      <c r="G6" t="s">
        <v>43</v>
      </c>
      <c r="H6" t="s">
        <v>984</v>
      </c>
      <c r="I6" t="s">
        <v>45</v>
      </c>
      <c r="J6" s="5" t="s">
        <v>970</v>
      </c>
      <c r="K6" s="5"/>
      <c r="L6" s="14">
        <v>941985</v>
      </c>
      <c r="M6" s="14">
        <v>1178260.8799999999</v>
      </c>
      <c r="O6">
        <f t="shared" si="0"/>
        <v>236275.87999999989</v>
      </c>
    </row>
    <row r="7" spans="1:15" x14ac:dyDescent="0.3">
      <c r="A7" t="s">
        <v>48</v>
      </c>
      <c r="G7" t="s">
        <v>941</v>
      </c>
      <c r="H7">
        <v>9627534</v>
      </c>
      <c r="I7" s="5" t="s">
        <v>63</v>
      </c>
      <c r="J7" t="s">
        <v>54</v>
      </c>
      <c r="L7" s="14">
        <v>1335262</v>
      </c>
      <c r="M7" s="14">
        <v>1571854.73</v>
      </c>
      <c r="O7">
        <f t="shared" si="0"/>
        <v>236592.72999999998</v>
      </c>
    </row>
    <row r="8" spans="1:15" x14ac:dyDescent="0.3">
      <c r="A8" t="s">
        <v>49</v>
      </c>
      <c r="G8" s="4" t="s">
        <v>944</v>
      </c>
      <c r="H8">
        <v>9042570574</v>
      </c>
      <c r="I8" t="s">
        <v>986</v>
      </c>
      <c r="J8" t="s">
        <v>921</v>
      </c>
      <c r="K8">
        <v>1033</v>
      </c>
      <c r="L8" s="14">
        <v>1089945.5</v>
      </c>
      <c r="M8" s="14">
        <v>1190358</v>
      </c>
      <c r="O8">
        <f t="shared" si="0"/>
        <v>100412.5</v>
      </c>
    </row>
    <row r="9" spans="1:15" x14ac:dyDescent="0.3">
      <c r="A9" s="5" t="s">
        <v>293</v>
      </c>
      <c r="G9" t="s">
        <v>942</v>
      </c>
      <c r="H9">
        <v>12365905</v>
      </c>
      <c r="I9" t="s">
        <v>985</v>
      </c>
      <c r="L9" s="14">
        <v>1200000</v>
      </c>
      <c r="M9" s="14">
        <v>1471573</v>
      </c>
      <c r="O9">
        <f t="shared" si="0"/>
        <v>271573</v>
      </c>
    </row>
    <row r="10" spans="1:15" x14ac:dyDescent="0.3">
      <c r="E10" s="4" t="s">
        <v>101</v>
      </c>
      <c r="G10" t="s">
        <v>943</v>
      </c>
      <c r="H10">
        <v>9991575073</v>
      </c>
      <c r="I10" s="5" t="s">
        <v>63</v>
      </c>
      <c r="J10" s="5" t="s">
        <v>241</v>
      </c>
      <c r="K10" s="5"/>
      <c r="L10" s="14">
        <v>1561476</v>
      </c>
      <c r="M10" s="14">
        <v>2021397.42</v>
      </c>
      <c r="O10">
        <f t="shared" si="0"/>
        <v>459921.41999999993</v>
      </c>
    </row>
    <row r="11" spans="1:15" x14ac:dyDescent="0.3">
      <c r="A11" t="s">
        <v>50</v>
      </c>
      <c r="E11" s="5" t="s">
        <v>49</v>
      </c>
      <c r="G11" t="s">
        <v>993</v>
      </c>
      <c r="H11">
        <v>404151011786</v>
      </c>
      <c r="I11" s="5" t="s">
        <v>49</v>
      </c>
      <c r="J11" t="s">
        <v>54</v>
      </c>
      <c r="L11" s="14"/>
    </row>
    <row r="12" spans="1:15" x14ac:dyDescent="0.3">
      <c r="A12" t="s">
        <v>51</v>
      </c>
      <c r="E12" s="5" t="s">
        <v>54</v>
      </c>
      <c r="G12" t="s">
        <v>407</v>
      </c>
      <c r="H12">
        <v>17518549</v>
      </c>
      <c r="I12" s="5" t="s">
        <v>63</v>
      </c>
      <c r="J12" t="s">
        <v>54</v>
      </c>
    </row>
    <row r="13" spans="1:15" x14ac:dyDescent="0.3">
      <c r="A13" t="s">
        <v>73</v>
      </c>
      <c r="G13" t="s">
        <v>992</v>
      </c>
      <c r="H13">
        <v>91076308513</v>
      </c>
    </row>
    <row r="14" spans="1:15" x14ac:dyDescent="0.3">
      <c r="E14" s="4" t="s">
        <v>105</v>
      </c>
      <c r="G14" t="s">
        <v>47</v>
      </c>
    </row>
    <row r="15" spans="1:15" x14ac:dyDescent="0.3">
      <c r="A15" t="s">
        <v>52</v>
      </c>
      <c r="E15" s="5" t="s">
        <v>69</v>
      </c>
      <c r="G15" t="s">
        <v>991</v>
      </c>
    </row>
    <row r="16" spans="1:15" x14ac:dyDescent="0.3">
      <c r="A16" t="s">
        <v>53</v>
      </c>
      <c r="E16" t="s">
        <v>54</v>
      </c>
    </row>
    <row r="17" spans="1:13" x14ac:dyDescent="0.3">
      <c r="A17" t="s">
        <v>45</v>
      </c>
    </row>
    <row r="18" spans="1:13" x14ac:dyDescent="0.3">
      <c r="A18" t="s">
        <v>54</v>
      </c>
      <c r="E18" s="4" t="s">
        <v>240</v>
      </c>
    </row>
    <row r="19" spans="1:13" x14ac:dyDescent="0.3">
      <c r="L19" s="14">
        <f>SUM(L2:L10)</f>
        <v>9969247.8100000005</v>
      </c>
      <c r="M19" s="14">
        <f>SUM(M2:M10)</f>
        <v>11798954.209999999</v>
      </c>
    </row>
    <row r="20" spans="1:13" x14ac:dyDescent="0.3">
      <c r="A20" t="s">
        <v>55</v>
      </c>
      <c r="M20" s="14">
        <f>M19-L19</f>
        <v>1829706.3999999985</v>
      </c>
    </row>
    <row r="21" spans="1:13" x14ac:dyDescent="0.3">
      <c r="A21" t="s">
        <v>56</v>
      </c>
    </row>
    <row r="22" spans="1:13" x14ac:dyDescent="0.3">
      <c r="A22" t="s">
        <v>57</v>
      </c>
      <c r="E22" s="4" t="s">
        <v>187</v>
      </c>
    </row>
    <row r="23" spans="1:13" x14ac:dyDescent="0.3">
      <c r="E23" s="5" t="s">
        <v>63</v>
      </c>
    </row>
    <row r="24" spans="1:13" x14ac:dyDescent="0.3">
      <c r="A24" t="s">
        <v>58</v>
      </c>
      <c r="E24" t="s">
        <v>188</v>
      </c>
    </row>
    <row r="25" spans="1:13" x14ac:dyDescent="0.3">
      <c r="A25" t="s">
        <v>51</v>
      </c>
    </row>
    <row r="26" spans="1:13" x14ac:dyDescent="0.3">
      <c r="A26" s="5" t="s">
        <v>63</v>
      </c>
    </row>
    <row r="27" spans="1:13" x14ac:dyDescent="0.3">
      <c r="A27" t="s">
        <v>54</v>
      </c>
    </row>
    <row r="29" spans="1:13" x14ac:dyDescent="0.3">
      <c r="A29" t="s">
        <v>52</v>
      </c>
    </row>
    <row r="30" spans="1:13" x14ac:dyDescent="0.3">
      <c r="A30" t="s">
        <v>59</v>
      </c>
    </row>
    <row r="31" spans="1:13" x14ac:dyDescent="0.3">
      <c r="A31" t="s">
        <v>45</v>
      </c>
    </row>
    <row r="32" spans="1:13" x14ac:dyDescent="0.3">
      <c r="A32" t="s">
        <v>54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843</v>
      </c>
    </row>
    <row r="37" spans="1:1" x14ac:dyDescent="0.3">
      <c r="A37" t="s">
        <v>932</v>
      </c>
    </row>
    <row r="39" spans="1:1" x14ac:dyDescent="0.3">
      <c r="A39" t="s">
        <v>62</v>
      </c>
    </row>
    <row r="40" spans="1:1" x14ac:dyDescent="0.3">
      <c r="A40" t="s">
        <v>59</v>
      </c>
    </row>
    <row r="41" spans="1:1" x14ac:dyDescent="0.3">
      <c r="A41" s="5" t="s">
        <v>63</v>
      </c>
    </row>
    <row r="44" spans="1:1" x14ac:dyDescent="0.3">
      <c r="A44" t="s">
        <v>64</v>
      </c>
    </row>
    <row r="45" spans="1:1" x14ac:dyDescent="0.3">
      <c r="A45" t="s">
        <v>59</v>
      </c>
    </row>
    <row r="46" spans="1:1" x14ac:dyDescent="0.3">
      <c r="A46" s="5" t="s">
        <v>63</v>
      </c>
    </row>
    <row r="47" spans="1:1" x14ac:dyDescent="0.3">
      <c r="A47" t="s">
        <v>65</v>
      </c>
    </row>
    <row r="49" spans="1:1" x14ac:dyDescent="0.3">
      <c r="A49" t="s">
        <v>66</v>
      </c>
    </row>
    <row r="50" spans="1:1" x14ac:dyDescent="0.3">
      <c r="A50" t="s">
        <v>48</v>
      </c>
    </row>
    <row r="51" spans="1:1" x14ac:dyDescent="0.3">
      <c r="A51" s="5" t="s">
        <v>49</v>
      </c>
    </row>
    <row r="52" spans="1:1" x14ac:dyDescent="0.3">
      <c r="A52" t="s">
        <v>73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s="5" t="s">
        <v>69</v>
      </c>
    </row>
    <row r="57" spans="1:1" x14ac:dyDescent="0.3">
      <c r="A57" t="s">
        <v>70</v>
      </c>
    </row>
    <row r="59" spans="1:1" x14ac:dyDescent="0.3">
      <c r="A59" t="s">
        <v>71</v>
      </c>
    </row>
    <row r="60" spans="1:1" x14ac:dyDescent="0.3">
      <c r="A60" t="s">
        <v>72</v>
      </c>
    </row>
    <row r="61" spans="1:1" x14ac:dyDescent="0.3">
      <c r="A61" t="s">
        <v>49</v>
      </c>
    </row>
    <row r="62" spans="1:1" x14ac:dyDescent="0.3">
      <c r="A62" t="s">
        <v>54</v>
      </c>
    </row>
  </sheetData>
  <hyperlinks>
    <hyperlink ref="E2" r:id="rId1" xr:uid="{00000000-0004-0000-0800-000000000000}"/>
    <hyperlink ref="E11" r:id="rId2" xr:uid="{00000000-0004-0000-0800-000001000000}"/>
    <hyperlink ref="E15" r:id="rId3" xr:uid="{00000000-0004-0000-0800-000002000000}"/>
    <hyperlink ref="A51" r:id="rId4" xr:uid="{00000000-0004-0000-0800-000003000000}"/>
    <hyperlink ref="I10" r:id="rId5" xr:uid="{00000000-0004-0000-0800-000004000000}"/>
    <hyperlink ref="E23" r:id="rId6" xr:uid="{00000000-0004-0000-0800-000005000000}"/>
    <hyperlink ref="J10" r:id="rId7" xr:uid="{00000000-0004-0000-0800-000006000000}"/>
    <hyperlink ref="J6" r:id="rId8" xr:uid="{00000000-0004-0000-0800-000007000000}"/>
    <hyperlink ref="E12" r:id="rId9" display="B@ng@lore05#" xr:uid="{00000000-0004-0000-0800-000008000000}"/>
    <hyperlink ref="A9" r:id="rId10" xr:uid="{00000000-0004-0000-0800-000009000000}"/>
    <hyperlink ref="I12" r:id="rId11" xr:uid="{00000000-0004-0000-0800-00000A000000}"/>
    <hyperlink ref="A56" r:id="rId12" xr:uid="{00000000-0004-0000-0800-00000B000000}"/>
    <hyperlink ref="A46" r:id="rId13" xr:uid="{3F471C74-0639-43DD-86EA-19086755FC8D}"/>
    <hyperlink ref="A26" r:id="rId14" xr:uid="{B760368F-D556-4D45-9CF0-5D02D5BFF480}"/>
    <hyperlink ref="I7" r:id="rId15" xr:uid="{DD012301-9C5C-4492-A180-094B6BE6AF95}"/>
    <hyperlink ref="I11" r:id="rId16" xr:uid="{43F38052-A3F2-4350-B27B-4424FC280743}"/>
    <hyperlink ref="A41" r:id="rId17" xr:uid="{B141DBED-6708-474D-B8C1-8422A04E8E88}"/>
  </hyperlinks>
  <pageMargins left="0.7" right="0.7" top="0.75" bottom="0.75" header="0.3" footer="0.3"/>
  <pageSetup paperSize="9" orientation="portrait" r:id="rId18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8"/>
  <sheetViews>
    <sheetView topLeftCell="A34" zoomScaleNormal="100" workbookViewId="0">
      <selection activeCell="D52" sqref="D52"/>
    </sheetView>
  </sheetViews>
  <sheetFormatPr defaultRowHeight="14.4" x14ac:dyDescent="0.3"/>
  <cols>
    <col min="1" max="1" width="29.77734375" customWidth="1"/>
    <col min="2" max="2" width="33.33203125" customWidth="1"/>
    <col min="3" max="3" width="16.44140625" customWidth="1"/>
    <col min="5" max="5" width="12.33203125" bestFit="1" customWidth="1"/>
    <col min="6" max="6" width="35.109375" customWidth="1"/>
    <col min="7" max="7" width="9.6640625" bestFit="1" customWidth="1"/>
    <col min="8" max="8" width="52.6640625" customWidth="1"/>
    <col min="9" max="9" width="35.109375" customWidth="1"/>
    <col min="10" max="10" width="37.21875" customWidth="1"/>
    <col min="11" max="11" width="11.88671875" customWidth="1"/>
    <col min="13" max="13" width="9.44140625" bestFit="1" customWidth="1"/>
    <col min="17" max="17" width="9.21875" bestFit="1" customWidth="1"/>
    <col min="22" max="22" width="9.6640625" bestFit="1" customWidth="1"/>
  </cols>
  <sheetData>
    <row r="1" spans="1:20" x14ac:dyDescent="0.3">
      <c r="A1" s="15" t="s">
        <v>457</v>
      </c>
      <c r="B1" s="15" t="s">
        <v>459</v>
      </c>
      <c r="C1" s="15" t="s">
        <v>463</v>
      </c>
      <c r="D1">
        <v>1</v>
      </c>
      <c r="F1" s="210" t="s">
        <v>1149</v>
      </c>
      <c r="H1" t="s">
        <v>533</v>
      </c>
      <c r="I1" t="s">
        <v>538</v>
      </c>
      <c r="J1" s="227"/>
      <c r="K1" s="227"/>
      <c r="L1" s="227"/>
    </row>
    <row r="2" spans="1:20" x14ac:dyDescent="0.3">
      <c r="A2" s="112" t="s">
        <v>458</v>
      </c>
      <c r="B2" s="15" t="s">
        <v>460</v>
      </c>
      <c r="C2" s="15" t="s">
        <v>470</v>
      </c>
      <c r="D2">
        <v>2</v>
      </c>
      <c r="F2" t="s">
        <v>475</v>
      </c>
      <c r="H2" t="s">
        <v>742</v>
      </c>
      <c r="I2" t="s">
        <v>743</v>
      </c>
      <c r="J2" t="s">
        <v>867</v>
      </c>
      <c r="N2" t="s">
        <v>459</v>
      </c>
    </row>
    <row r="3" spans="1:20" x14ac:dyDescent="0.3">
      <c r="A3" s="15" t="s">
        <v>475</v>
      </c>
      <c r="B3" s="15" t="s">
        <v>461</v>
      </c>
      <c r="C3" s="15" t="s">
        <v>471</v>
      </c>
      <c r="D3">
        <v>3</v>
      </c>
      <c r="E3" s="15"/>
      <c r="F3" s="15" t="s">
        <v>1154</v>
      </c>
      <c r="H3" s="15" t="s">
        <v>757</v>
      </c>
      <c r="I3" t="s">
        <v>744</v>
      </c>
      <c r="J3" s="15" t="s">
        <v>868</v>
      </c>
      <c r="N3" t="s">
        <v>745</v>
      </c>
    </row>
    <row r="4" spans="1:20" x14ac:dyDescent="0.3">
      <c r="A4" s="15" t="s">
        <v>468</v>
      </c>
      <c r="B4" s="15" t="s">
        <v>462</v>
      </c>
      <c r="C4" s="15" t="s">
        <v>472</v>
      </c>
      <c r="D4">
        <v>4</v>
      </c>
      <c r="E4" s="15"/>
      <c r="F4" s="15" t="s">
        <v>1150</v>
      </c>
      <c r="G4" s="15">
        <v>44587</v>
      </c>
      <c r="H4" t="s">
        <v>534</v>
      </c>
      <c r="I4" t="s">
        <v>537</v>
      </c>
      <c r="J4" s="31" t="s">
        <v>869</v>
      </c>
      <c r="N4" t="s">
        <v>847</v>
      </c>
    </row>
    <row r="5" spans="1:20" x14ac:dyDescent="0.3">
      <c r="A5" s="51" t="s">
        <v>487</v>
      </c>
      <c r="B5" s="15" t="s">
        <v>465</v>
      </c>
      <c r="C5" s="15" t="s">
        <v>473</v>
      </c>
      <c r="D5">
        <v>5</v>
      </c>
      <c r="E5" s="15"/>
      <c r="F5" s="15" t="s">
        <v>457</v>
      </c>
      <c r="G5" s="15">
        <v>44633</v>
      </c>
      <c r="H5" t="s">
        <v>535</v>
      </c>
      <c r="I5" t="s">
        <v>745</v>
      </c>
      <c r="J5" t="s">
        <v>870</v>
      </c>
      <c r="N5" t="s">
        <v>848</v>
      </c>
    </row>
    <row r="6" spans="1:20" x14ac:dyDescent="0.3">
      <c r="A6" s="15" t="s">
        <v>488</v>
      </c>
      <c r="B6" s="15" t="s">
        <v>466</v>
      </c>
      <c r="C6" s="15"/>
      <c r="D6">
        <v>6</v>
      </c>
      <c r="F6" s="15" t="s">
        <v>1151</v>
      </c>
      <c r="G6" s="15">
        <v>44665</v>
      </c>
      <c r="H6" t="s">
        <v>820</v>
      </c>
      <c r="I6" t="s">
        <v>746</v>
      </c>
      <c r="J6" t="s">
        <v>536</v>
      </c>
      <c r="N6" t="s">
        <v>846</v>
      </c>
    </row>
    <row r="7" spans="1:20" x14ac:dyDescent="0.3">
      <c r="A7" s="15"/>
      <c r="B7" s="15" t="s">
        <v>469</v>
      </c>
      <c r="C7" s="15"/>
      <c r="D7">
        <v>7</v>
      </c>
      <c r="F7" s="15" t="s">
        <v>1152</v>
      </c>
      <c r="G7" s="15">
        <v>44667</v>
      </c>
      <c r="H7" t="s">
        <v>821</v>
      </c>
      <c r="I7" t="s">
        <v>736</v>
      </c>
      <c r="J7" t="s">
        <v>871</v>
      </c>
      <c r="N7" t="s">
        <v>776</v>
      </c>
    </row>
    <row r="8" spans="1:20" x14ac:dyDescent="0.3">
      <c r="A8" s="15"/>
      <c r="B8" s="15" t="s">
        <v>474</v>
      </c>
      <c r="C8" s="15"/>
      <c r="D8">
        <v>8</v>
      </c>
      <c r="F8" s="15" t="s">
        <v>543</v>
      </c>
      <c r="J8" s="51" t="s">
        <v>872</v>
      </c>
      <c r="N8" t="s">
        <v>849</v>
      </c>
    </row>
    <row r="9" spans="1:20" x14ac:dyDescent="0.3">
      <c r="A9" s="15" t="s">
        <v>541</v>
      </c>
      <c r="B9" s="15" t="s">
        <v>467</v>
      </c>
      <c r="C9" s="15"/>
      <c r="D9">
        <v>9</v>
      </c>
      <c r="F9" s="15" t="s">
        <v>1153</v>
      </c>
      <c r="I9" t="s">
        <v>833</v>
      </c>
      <c r="J9" t="s">
        <v>873</v>
      </c>
      <c r="K9" t="s">
        <v>888</v>
      </c>
      <c r="N9" t="s">
        <v>850</v>
      </c>
    </row>
    <row r="10" spans="1:20" x14ac:dyDescent="0.3">
      <c r="A10" s="15" t="s">
        <v>542</v>
      </c>
      <c r="B10" s="15" t="s">
        <v>516</v>
      </c>
      <c r="D10">
        <v>10</v>
      </c>
      <c r="F10" s="15" t="s">
        <v>1155</v>
      </c>
      <c r="H10" t="s">
        <v>865</v>
      </c>
      <c r="I10" t="s">
        <v>794</v>
      </c>
      <c r="J10" t="s">
        <v>874</v>
      </c>
      <c r="K10" t="s">
        <v>888</v>
      </c>
      <c r="N10" t="s">
        <v>851</v>
      </c>
    </row>
    <row r="11" spans="1:20" x14ac:dyDescent="0.3">
      <c r="A11" s="15"/>
      <c r="B11" s="15" t="s">
        <v>510</v>
      </c>
      <c r="D11">
        <v>11</v>
      </c>
      <c r="F11" s="15" t="s">
        <v>1156</v>
      </c>
      <c r="H11" s="15" t="s">
        <v>866</v>
      </c>
      <c r="I11" t="s">
        <v>795</v>
      </c>
      <c r="J11" t="s">
        <v>535</v>
      </c>
      <c r="K11" t="s">
        <v>888</v>
      </c>
      <c r="N11" t="s">
        <v>852</v>
      </c>
      <c r="Q11" s="227"/>
      <c r="R11" s="227"/>
      <c r="S11" s="227"/>
      <c r="T11" s="105"/>
    </row>
    <row r="12" spans="1:20" x14ac:dyDescent="0.3">
      <c r="A12" s="15" t="s">
        <v>464</v>
      </c>
      <c r="B12" s="15" t="s">
        <v>1172</v>
      </c>
      <c r="C12" s="15"/>
      <c r="D12">
        <v>12</v>
      </c>
      <c r="F12" s="15" t="s">
        <v>1157</v>
      </c>
      <c r="H12" s="15" t="s">
        <v>903</v>
      </c>
      <c r="I12" t="s">
        <v>796</v>
      </c>
      <c r="J12" t="s">
        <v>875</v>
      </c>
      <c r="K12" t="s">
        <v>878</v>
      </c>
      <c r="N12" t="s">
        <v>853</v>
      </c>
    </row>
    <row r="13" spans="1:20" x14ac:dyDescent="0.3">
      <c r="A13" s="15" t="s">
        <v>543</v>
      </c>
      <c r="B13" s="15" t="s">
        <v>768</v>
      </c>
      <c r="D13">
        <v>13</v>
      </c>
      <c r="F13" s="15" t="s">
        <v>1158</v>
      </c>
      <c r="H13" s="15"/>
      <c r="I13" s="51" t="s">
        <v>797</v>
      </c>
      <c r="J13" t="s">
        <v>876</v>
      </c>
      <c r="K13" t="s">
        <v>878</v>
      </c>
    </row>
    <row r="14" spans="1:20" x14ac:dyDescent="0.3">
      <c r="A14" s="15" t="s">
        <v>551</v>
      </c>
      <c r="B14" s="15" t="s">
        <v>769</v>
      </c>
      <c r="D14">
        <v>14</v>
      </c>
      <c r="F14" s="15" t="s">
        <v>1159</v>
      </c>
      <c r="H14" s="112" t="s">
        <v>707</v>
      </c>
      <c r="I14" s="51" t="s">
        <v>798</v>
      </c>
      <c r="J14" t="s">
        <v>877</v>
      </c>
      <c r="K14" t="s">
        <v>878</v>
      </c>
    </row>
    <row r="15" spans="1:20" x14ac:dyDescent="0.3">
      <c r="A15" s="15"/>
      <c r="B15" s="15" t="s">
        <v>518</v>
      </c>
      <c r="D15">
        <v>15</v>
      </c>
      <c r="H15" s="112" t="s">
        <v>708</v>
      </c>
      <c r="I15" t="s">
        <v>799</v>
      </c>
      <c r="J15" t="s">
        <v>879</v>
      </c>
      <c r="K15" t="s">
        <v>878</v>
      </c>
    </row>
    <row r="16" spans="1:20" x14ac:dyDescent="0.3">
      <c r="A16" s="15"/>
      <c r="B16" s="15" t="s">
        <v>863</v>
      </c>
      <c r="D16">
        <v>16</v>
      </c>
      <c r="H16" s="112" t="s">
        <v>709</v>
      </c>
      <c r="I16" s="51" t="s">
        <v>800</v>
      </c>
      <c r="J16" t="s">
        <v>740</v>
      </c>
      <c r="K16" t="s">
        <v>880</v>
      </c>
    </row>
    <row r="17" spans="1:14" x14ac:dyDescent="0.3">
      <c r="B17" s="15" t="s">
        <v>864</v>
      </c>
      <c r="D17">
        <v>17</v>
      </c>
      <c r="H17" s="112" t="s">
        <v>505</v>
      </c>
      <c r="I17" s="51" t="s">
        <v>801</v>
      </c>
      <c r="J17" t="s">
        <v>741</v>
      </c>
      <c r="K17" t="s">
        <v>880</v>
      </c>
    </row>
    <row r="18" spans="1:14" x14ac:dyDescent="0.3">
      <c r="A18" s="15" t="s">
        <v>475</v>
      </c>
      <c r="B18" s="15" t="s">
        <v>519</v>
      </c>
      <c r="D18">
        <v>18</v>
      </c>
      <c r="H18" s="112" t="s">
        <v>1028</v>
      </c>
      <c r="I18" s="51" t="s">
        <v>802</v>
      </c>
      <c r="J18" t="s">
        <v>848</v>
      </c>
      <c r="N18" t="s">
        <v>1060</v>
      </c>
    </row>
    <row r="19" spans="1:14" x14ac:dyDescent="0.3">
      <c r="B19" s="15" t="s">
        <v>517</v>
      </c>
      <c r="D19">
        <v>19</v>
      </c>
      <c r="H19" s="112" t="s">
        <v>1029</v>
      </c>
      <c r="I19" s="51" t="s">
        <v>803</v>
      </c>
      <c r="J19" t="s">
        <v>881</v>
      </c>
      <c r="N19" t="s">
        <v>1061</v>
      </c>
    </row>
    <row r="20" spans="1:14" x14ac:dyDescent="0.3">
      <c r="B20" s="15" t="s">
        <v>904</v>
      </c>
      <c r="D20">
        <v>20</v>
      </c>
      <c r="H20" s="15"/>
      <c r="I20" t="s">
        <v>804</v>
      </c>
      <c r="J20" t="s">
        <v>882</v>
      </c>
      <c r="N20" t="s">
        <v>1062</v>
      </c>
    </row>
    <row r="21" spans="1:14" x14ac:dyDescent="0.3">
      <c r="A21" s="15" t="s">
        <v>758</v>
      </c>
      <c r="B21" s="15" t="s">
        <v>509</v>
      </c>
      <c r="D21">
        <v>21</v>
      </c>
      <c r="H21" s="15"/>
      <c r="I21" t="s">
        <v>805</v>
      </c>
      <c r="J21" t="s">
        <v>884</v>
      </c>
      <c r="K21" t="s">
        <v>846</v>
      </c>
    </row>
    <row r="22" spans="1:14" x14ac:dyDescent="0.3">
      <c r="A22" s="15" t="s">
        <v>759</v>
      </c>
      <c r="B22" s="15" t="s">
        <v>1010</v>
      </c>
      <c r="C22" s="15" t="s">
        <v>880</v>
      </c>
      <c r="D22">
        <v>22</v>
      </c>
      <c r="H22" s="15"/>
      <c r="I22" s="51" t="s">
        <v>806</v>
      </c>
      <c r="J22" t="s">
        <v>883</v>
      </c>
      <c r="K22" t="s">
        <v>776</v>
      </c>
    </row>
    <row r="23" spans="1:14" x14ac:dyDescent="0.3">
      <c r="B23" s="15" t="s">
        <v>1011</v>
      </c>
      <c r="C23" s="15" t="s">
        <v>880</v>
      </c>
      <c r="D23">
        <v>23</v>
      </c>
      <c r="H23" s="15"/>
      <c r="I23" s="51" t="s">
        <v>807</v>
      </c>
      <c r="J23" t="s">
        <v>884</v>
      </c>
      <c r="K23" t="s">
        <v>776</v>
      </c>
    </row>
    <row r="24" spans="1:14" x14ac:dyDescent="0.3">
      <c r="A24" t="s">
        <v>964</v>
      </c>
      <c r="B24" s="15" t="s">
        <v>1012</v>
      </c>
      <c r="C24" s="15" t="s">
        <v>880</v>
      </c>
      <c r="D24">
        <v>24</v>
      </c>
      <c r="H24" s="15"/>
      <c r="I24" t="s">
        <v>808</v>
      </c>
      <c r="J24" t="s">
        <v>885</v>
      </c>
    </row>
    <row r="25" spans="1:14" x14ac:dyDescent="0.3">
      <c r="A25" t="s">
        <v>842</v>
      </c>
      <c r="B25" s="15" t="s">
        <v>791</v>
      </c>
      <c r="C25" s="15"/>
      <c r="D25">
        <v>25</v>
      </c>
      <c r="H25" s="15"/>
      <c r="I25" t="s">
        <v>809</v>
      </c>
      <c r="J25" t="s">
        <v>745</v>
      </c>
    </row>
    <row r="26" spans="1:14" ht="57.6" x14ac:dyDescent="0.3">
      <c r="A26" s="6" t="s">
        <v>965</v>
      </c>
      <c r="B26" s="15" t="s">
        <v>506</v>
      </c>
      <c r="C26" s="15" t="s">
        <v>511</v>
      </c>
      <c r="D26">
        <v>26</v>
      </c>
      <c r="H26" s="15"/>
      <c r="J26" t="s">
        <v>870</v>
      </c>
    </row>
    <row r="27" spans="1:14" x14ac:dyDescent="0.3">
      <c r="B27" s="15" t="s">
        <v>1079</v>
      </c>
      <c r="D27">
        <v>27</v>
      </c>
      <c r="H27" s="15"/>
      <c r="J27" t="s">
        <v>849</v>
      </c>
      <c r="K27" s="15"/>
    </row>
    <row r="28" spans="1:14" x14ac:dyDescent="0.3">
      <c r="B28" s="178" t="s">
        <v>1081</v>
      </c>
      <c r="D28">
        <v>28</v>
      </c>
      <c r="G28" s="15">
        <v>44794</v>
      </c>
      <c r="H28" t="s">
        <v>906</v>
      </c>
      <c r="I28" t="s">
        <v>854</v>
      </c>
      <c r="J28" t="s">
        <v>886</v>
      </c>
    </row>
    <row r="29" spans="1:14" x14ac:dyDescent="0.3">
      <c r="B29" s="15" t="s">
        <v>710</v>
      </c>
      <c r="D29">
        <v>29</v>
      </c>
      <c r="E29" s="105"/>
      <c r="F29" s="105"/>
      <c r="G29" s="15"/>
      <c r="H29" s="15"/>
      <c r="I29" t="s">
        <v>855</v>
      </c>
      <c r="J29" t="s">
        <v>538</v>
      </c>
      <c r="K29" s="15"/>
    </row>
    <row r="30" spans="1:14" x14ac:dyDescent="0.3">
      <c r="A30" s="15"/>
      <c r="B30" s="15" t="s">
        <v>1083</v>
      </c>
      <c r="C30" s="5"/>
      <c r="D30">
        <v>30</v>
      </c>
      <c r="G30" s="15"/>
      <c r="H30" s="15"/>
      <c r="I30" t="s">
        <v>850</v>
      </c>
      <c r="J30" t="s">
        <v>736</v>
      </c>
    </row>
    <row r="31" spans="1:14" x14ac:dyDescent="0.3">
      <c r="A31" s="15"/>
      <c r="B31" s="15" t="s">
        <v>1084</v>
      </c>
      <c r="C31" s="15"/>
      <c r="D31">
        <v>31</v>
      </c>
      <c r="G31" s="15"/>
      <c r="H31" s="15"/>
      <c r="I31" t="s">
        <v>708</v>
      </c>
      <c r="J31" t="s">
        <v>887</v>
      </c>
    </row>
    <row r="32" spans="1:14" x14ac:dyDescent="0.3">
      <c r="A32" s="15"/>
      <c r="B32" s="15" t="s">
        <v>1082</v>
      </c>
      <c r="D32">
        <v>32</v>
      </c>
      <c r="H32" s="15"/>
      <c r="I32" t="s">
        <v>856</v>
      </c>
      <c r="J32" t="s">
        <v>889</v>
      </c>
    </row>
    <row r="33" spans="1:10" x14ac:dyDescent="0.3">
      <c r="A33" s="15"/>
      <c r="B33" s="15" t="s">
        <v>735</v>
      </c>
      <c r="D33">
        <v>33</v>
      </c>
      <c r="H33" s="15"/>
      <c r="I33" t="s">
        <v>857</v>
      </c>
      <c r="J33" t="s">
        <v>549</v>
      </c>
    </row>
    <row r="34" spans="1:10" x14ac:dyDescent="0.3">
      <c r="A34" s="15"/>
      <c r="B34" s="15" t="s">
        <v>1086</v>
      </c>
      <c r="C34" t="s">
        <v>511</v>
      </c>
      <c r="D34">
        <v>34</v>
      </c>
      <c r="H34" s="15"/>
      <c r="I34" t="s">
        <v>858</v>
      </c>
      <c r="J34" t="s">
        <v>890</v>
      </c>
    </row>
    <row r="35" spans="1:10" x14ac:dyDescent="0.3">
      <c r="A35" s="15"/>
      <c r="B35" s="15" t="s">
        <v>508</v>
      </c>
      <c r="C35" s="15"/>
      <c r="D35">
        <v>35</v>
      </c>
      <c r="H35" s="15"/>
      <c r="I35" t="s">
        <v>859</v>
      </c>
      <c r="J35" t="s">
        <v>891</v>
      </c>
    </row>
    <row r="36" spans="1:10" x14ac:dyDescent="0.3">
      <c r="A36" s="15"/>
      <c r="B36" s="15" t="s">
        <v>1177</v>
      </c>
      <c r="D36">
        <v>36</v>
      </c>
      <c r="G36" s="15">
        <v>44829</v>
      </c>
      <c r="H36" s="15"/>
      <c r="J36" t="s">
        <v>892</v>
      </c>
    </row>
    <row r="37" spans="1:10" x14ac:dyDescent="0.3">
      <c r="A37" s="15"/>
      <c r="B37" s="15" t="s">
        <v>1176</v>
      </c>
      <c r="D37">
        <v>37</v>
      </c>
      <c r="G37" s="15">
        <v>44829</v>
      </c>
      <c r="H37" s="15"/>
      <c r="J37" t="s">
        <v>769</v>
      </c>
    </row>
    <row r="38" spans="1:10" x14ac:dyDescent="0.3">
      <c r="A38" s="15"/>
      <c r="B38" s="15" t="s">
        <v>707</v>
      </c>
      <c r="D38">
        <v>38</v>
      </c>
      <c r="G38" s="15">
        <v>44829</v>
      </c>
      <c r="H38" s="15"/>
      <c r="J38" t="s">
        <v>893</v>
      </c>
    </row>
    <row r="39" spans="1:10" x14ac:dyDescent="0.3">
      <c r="A39" s="15"/>
      <c r="B39" s="112" t="s">
        <v>1171</v>
      </c>
      <c r="D39">
        <v>39</v>
      </c>
      <c r="G39" s="15">
        <v>44829</v>
      </c>
      <c r="H39" s="15"/>
      <c r="J39" t="s">
        <v>894</v>
      </c>
    </row>
    <row r="40" spans="1:10" x14ac:dyDescent="0.3">
      <c r="A40" s="15"/>
      <c r="B40" s="112" t="s">
        <v>1206</v>
      </c>
      <c r="D40">
        <v>40</v>
      </c>
      <c r="G40" s="15">
        <v>44850</v>
      </c>
      <c r="H40" s="15"/>
      <c r="J40" t="s">
        <v>895</v>
      </c>
    </row>
    <row r="41" spans="1:10" x14ac:dyDescent="0.3">
      <c r="A41" s="15"/>
      <c r="B41" s="112" t="s">
        <v>1178</v>
      </c>
      <c r="D41">
        <v>41</v>
      </c>
      <c r="G41" s="15">
        <v>44870</v>
      </c>
      <c r="H41" s="15"/>
      <c r="J41" t="s">
        <v>896</v>
      </c>
    </row>
    <row r="42" spans="1:10" x14ac:dyDescent="0.3">
      <c r="B42" s="112" t="s">
        <v>1179</v>
      </c>
      <c r="D42">
        <v>42</v>
      </c>
      <c r="G42" t="s">
        <v>813</v>
      </c>
      <c r="H42" s="15"/>
      <c r="J42" t="s">
        <v>897</v>
      </c>
    </row>
    <row r="43" spans="1:10" x14ac:dyDescent="0.3">
      <c r="B43" s="112" t="s">
        <v>1180</v>
      </c>
      <c r="D43">
        <v>43</v>
      </c>
      <c r="E43" s="105"/>
      <c r="F43" s="105"/>
      <c r="G43" s="7">
        <v>44773</v>
      </c>
      <c r="H43" s="15"/>
      <c r="J43" t="s">
        <v>898</v>
      </c>
    </row>
    <row r="44" spans="1:10" x14ac:dyDescent="0.3">
      <c r="B44" s="112" t="s">
        <v>1197</v>
      </c>
      <c r="C44" t="s">
        <v>1205</v>
      </c>
      <c r="D44">
        <v>44</v>
      </c>
      <c r="G44" s="105"/>
      <c r="H44" s="15"/>
      <c r="J44" t="s">
        <v>899</v>
      </c>
    </row>
    <row r="45" spans="1:10" x14ac:dyDescent="0.3">
      <c r="B45" s="112" t="s">
        <v>1199</v>
      </c>
      <c r="C45" t="s">
        <v>1200</v>
      </c>
      <c r="D45">
        <v>45</v>
      </c>
      <c r="H45" s="15"/>
      <c r="J45" t="s">
        <v>900</v>
      </c>
    </row>
    <row r="46" spans="1:10" x14ac:dyDescent="0.3">
      <c r="B46" s="112" t="s">
        <v>1201</v>
      </c>
      <c r="C46" t="s">
        <v>1200</v>
      </c>
      <c r="D46">
        <v>46</v>
      </c>
      <c r="G46" s="15">
        <v>44919</v>
      </c>
      <c r="H46" s="15"/>
      <c r="J46" t="s">
        <v>901</v>
      </c>
    </row>
    <row r="47" spans="1:10" x14ac:dyDescent="0.3">
      <c r="B47" s="112" t="s">
        <v>1202</v>
      </c>
      <c r="C47" s="15" t="s">
        <v>886</v>
      </c>
      <c r="D47">
        <v>47</v>
      </c>
      <c r="G47" s="15">
        <v>44919</v>
      </c>
      <c r="H47" s="15"/>
    </row>
    <row r="48" spans="1:10" x14ac:dyDescent="0.3">
      <c r="B48" s="112" t="s">
        <v>1203</v>
      </c>
      <c r="C48" t="s">
        <v>1200</v>
      </c>
      <c r="D48">
        <v>48</v>
      </c>
      <c r="H48" s="15"/>
    </row>
    <row r="49" spans="1:8" x14ac:dyDescent="0.3">
      <c r="B49" s="112" t="s">
        <v>1204</v>
      </c>
      <c r="C49" s="15"/>
      <c r="D49">
        <v>49</v>
      </c>
      <c r="H49" s="15"/>
    </row>
    <row r="50" spans="1:8" ht="43.2" x14ac:dyDescent="0.3">
      <c r="A50" s="31" t="s">
        <v>862</v>
      </c>
      <c r="B50" s="112" t="s">
        <v>1205</v>
      </c>
      <c r="C50" s="15" t="s">
        <v>1205</v>
      </c>
      <c r="D50">
        <v>50</v>
      </c>
      <c r="H50" s="15"/>
    </row>
    <row r="51" spans="1:8" ht="57.6" x14ac:dyDescent="0.3">
      <c r="A51" s="142" t="s">
        <v>861</v>
      </c>
      <c r="B51" s="142" t="s">
        <v>1209</v>
      </c>
      <c r="C51" s="15"/>
      <c r="D51">
        <v>51</v>
      </c>
      <c r="H51" s="15" t="s">
        <v>706</v>
      </c>
    </row>
    <row r="52" spans="1:8" x14ac:dyDescent="0.3">
      <c r="A52" s="142"/>
      <c r="B52" s="31"/>
      <c r="H52" s="15" t="s">
        <v>705</v>
      </c>
    </row>
    <row r="53" spans="1:8" x14ac:dyDescent="0.3">
      <c r="A53" s="142"/>
      <c r="B53" s="31"/>
      <c r="H53" s="15" t="s">
        <v>704</v>
      </c>
    </row>
    <row r="54" spans="1:8" ht="43.2" x14ac:dyDescent="0.3">
      <c r="A54" s="142" t="s">
        <v>860</v>
      </c>
      <c r="B54" s="142"/>
      <c r="H54" t="s">
        <v>547</v>
      </c>
    </row>
    <row r="55" spans="1:8" x14ac:dyDescent="0.3">
      <c r="A55" s="15"/>
      <c r="B55" s="142"/>
      <c r="H55" t="s">
        <v>548</v>
      </c>
    </row>
    <row r="56" spans="1:8" x14ac:dyDescent="0.3">
      <c r="A56" s="15"/>
      <c r="B56" s="142"/>
    </row>
    <row r="57" spans="1:8" x14ac:dyDescent="0.3">
      <c r="B57" s="112"/>
      <c r="H57" t="s">
        <v>550</v>
      </c>
    </row>
    <row r="58" spans="1:8" x14ac:dyDescent="0.3">
      <c r="A58" s="15"/>
      <c r="B58" s="15"/>
    </row>
    <row r="59" spans="1:8" x14ac:dyDescent="0.3">
      <c r="A59" s="15"/>
      <c r="B59" s="15"/>
      <c r="H59" t="s">
        <v>760</v>
      </c>
    </row>
    <row r="60" spans="1:8" x14ac:dyDescent="0.3">
      <c r="A60" s="15"/>
      <c r="B60" s="112"/>
      <c r="H60" t="s">
        <v>761</v>
      </c>
    </row>
    <row r="61" spans="1:8" x14ac:dyDescent="0.3">
      <c r="A61" s="15"/>
      <c r="B61" s="15"/>
      <c r="H61" t="s">
        <v>762</v>
      </c>
    </row>
    <row r="62" spans="1:8" x14ac:dyDescent="0.3">
      <c r="B62" s="112"/>
      <c r="C62" t="s">
        <v>511</v>
      </c>
      <c r="H62" t="s">
        <v>763</v>
      </c>
    </row>
    <row r="63" spans="1:8" x14ac:dyDescent="0.3">
      <c r="A63" s="108"/>
      <c r="B63" s="112"/>
      <c r="C63" t="s">
        <v>511</v>
      </c>
      <c r="H63" t="s">
        <v>764</v>
      </c>
    </row>
    <row r="65" spans="1:8" x14ac:dyDescent="0.3">
      <c r="A65" s="108" t="s">
        <v>781</v>
      </c>
    </row>
    <row r="66" spans="1:8" x14ac:dyDescent="0.3">
      <c r="A66" s="108" t="s">
        <v>777</v>
      </c>
    </row>
    <row r="67" spans="1:8" x14ac:dyDescent="0.3">
      <c r="A67" s="108" t="s">
        <v>778</v>
      </c>
      <c r="H67" t="s">
        <v>774</v>
      </c>
    </row>
    <row r="68" spans="1:8" x14ac:dyDescent="0.3">
      <c r="A68" s="108" t="s">
        <v>779</v>
      </c>
      <c r="H68" t="s">
        <v>772</v>
      </c>
    </row>
    <row r="69" spans="1:8" ht="20.399999999999999" x14ac:dyDescent="0.3">
      <c r="A69" s="108" t="s">
        <v>780</v>
      </c>
      <c r="H69" t="s">
        <v>773</v>
      </c>
    </row>
    <row r="70" spans="1:8" x14ac:dyDescent="0.3">
      <c r="A70" s="108"/>
    </row>
    <row r="71" spans="1:8" x14ac:dyDescent="0.3">
      <c r="A71" s="108"/>
      <c r="H71" t="s">
        <v>787</v>
      </c>
    </row>
    <row r="72" spans="1:8" x14ac:dyDescent="0.3">
      <c r="A72" s="108"/>
      <c r="H72" t="s">
        <v>788</v>
      </c>
    </row>
    <row r="73" spans="1:8" x14ac:dyDescent="0.3">
      <c r="A73" s="108"/>
      <c r="H73" t="s">
        <v>789</v>
      </c>
    </row>
    <row r="74" spans="1:8" x14ac:dyDescent="0.3">
      <c r="A74" s="108"/>
      <c r="H74" t="s">
        <v>790</v>
      </c>
    </row>
    <row r="75" spans="1:8" x14ac:dyDescent="0.3">
      <c r="A75" s="108"/>
      <c r="B75" t="s">
        <v>783</v>
      </c>
      <c r="H75" t="s">
        <v>791</v>
      </c>
    </row>
    <row r="76" spans="1:8" x14ac:dyDescent="0.3">
      <c r="A76" s="108"/>
      <c r="B76" t="s">
        <v>784</v>
      </c>
      <c r="H76" t="s">
        <v>792</v>
      </c>
    </row>
    <row r="77" spans="1:8" x14ac:dyDescent="0.3">
      <c r="A77" s="108"/>
      <c r="B77" t="s">
        <v>785</v>
      </c>
    </row>
    <row r="78" spans="1:8" x14ac:dyDescent="0.3">
      <c r="A78" s="108"/>
      <c r="G78" s="15">
        <v>44542</v>
      </c>
      <c r="H78" t="s">
        <v>810</v>
      </c>
    </row>
    <row r="79" spans="1:8" x14ac:dyDescent="0.3">
      <c r="A79" s="108"/>
      <c r="G79" s="15">
        <v>44542</v>
      </c>
      <c r="H79" t="s">
        <v>811</v>
      </c>
    </row>
    <row r="80" spans="1:8" x14ac:dyDescent="0.3">
      <c r="A80" s="108"/>
      <c r="B80" s="138" t="s">
        <v>828</v>
      </c>
      <c r="C80" t="s">
        <v>829</v>
      </c>
      <c r="G80" s="15">
        <v>44542</v>
      </c>
      <c r="H80" t="s">
        <v>536</v>
      </c>
    </row>
    <row r="81" spans="1:8" x14ac:dyDescent="0.3">
      <c r="A81" s="108"/>
      <c r="B81" s="138" t="s">
        <v>830</v>
      </c>
      <c r="G81" s="15">
        <v>44542</v>
      </c>
      <c r="H81" t="s">
        <v>812</v>
      </c>
    </row>
    <row r="82" spans="1:8" x14ac:dyDescent="0.3">
      <c r="A82" s="108"/>
    </row>
    <row r="83" spans="1:8" x14ac:dyDescent="0.3">
      <c r="A83" s="108"/>
      <c r="G83" s="15">
        <v>45039</v>
      </c>
      <c r="H83" t="s">
        <v>845</v>
      </c>
    </row>
    <row r="84" spans="1:8" ht="43.2" x14ac:dyDescent="0.3">
      <c r="A84" s="108"/>
      <c r="B84" s="139" t="s">
        <v>831</v>
      </c>
      <c r="G84" s="15">
        <v>45046</v>
      </c>
      <c r="H84" s="6" t="s">
        <v>905</v>
      </c>
    </row>
    <row r="85" spans="1:8" x14ac:dyDescent="0.3">
      <c r="A85" s="108"/>
    </row>
    <row r="86" spans="1:8" x14ac:dyDescent="0.3">
      <c r="A86" s="108"/>
    </row>
    <row r="87" spans="1:8" x14ac:dyDescent="0.3">
      <c r="A87" s="108"/>
    </row>
    <row r="88" spans="1:8" x14ac:dyDescent="0.3">
      <c r="A88" s="108"/>
    </row>
    <row r="89" spans="1:8" x14ac:dyDescent="0.3">
      <c r="A89" s="108"/>
    </row>
    <row r="90" spans="1:8" x14ac:dyDescent="0.3">
      <c r="A90" s="108"/>
    </row>
    <row r="91" spans="1:8" x14ac:dyDescent="0.3">
      <c r="A91" s="108"/>
    </row>
    <row r="92" spans="1:8" x14ac:dyDescent="0.3">
      <c r="A92" s="108"/>
    </row>
    <row r="93" spans="1:8" x14ac:dyDescent="0.3">
      <c r="A93" s="108"/>
    </row>
    <row r="94" spans="1:8" x14ac:dyDescent="0.3">
      <c r="A94" s="108"/>
    </row>
    <row r="95" spans="1:8" x14ac:dyDescent="0.3">
      <c r="A95" s="108"/>
    </row>
    <row r="96" spans="1:8" x14ac:dyDescent="0.3">
      <c r="A96" s="108"/>
    </row>
    <row r="97" spans="1:1" x14ac:dyDescent="0.3">
      <c r="A97" s="108"/>
    </row>
    <row r="98" spans="1:1" x14ac:dyDescent="0.3">
      <c r="A98" s="108"/>
    </row>
    <row r="99" spans="1:1" x14ac:dyDescent="0.3">
      <c r="A99" s="108"/>
    </row>
    <row r="100" spans="1:1" x14ac:dyDescent="0.3">
      <c r="A100" s="108"/>
    </row>
    <row r="101" spans="1:1" x14ac:dyDescent="0.3">
      <c r="A101" s="108"/>
    </row>
    <row r="102" spans="1:1" x14ac:dyDescent="0.3">
      <c r="A102" s="108"/>
    </row>
    <row r="103" spans="1:1" x14ac:dyDescent="0.3">
      <c r="A103" s="108"/>
    </row>
    <row r="104" spans="1:1" x14ac:dyDescent="0.3">
      <c r="A104" s="108"/>
    </row>
    <row r="105" spans="1:1" x14ac:dyDescent="0.3">
      <c r="A105" s="108"/>
    </row>
    <row r="106" spans="1:1" x14ac:dyDescent="0.3">
      <c r="A106" s="108"/>
    </row>
    <row r="107" spans="1:1" x14ac:dyDescent="0.3">
      <c r="A107" s="108"/>
    </row>
    <row r="108" spans="1:1" x14ac:dyDescent="0.3">
      <c r="A108" s="108"/>
    </row>
  </sheetData>
  <mergeCells count="2">
    <mergeCell ref="Q11:S11"/>
    <mergeCell ref="J1:L1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9869-EA6C-4C58-B21C-B67DD86BEA56}">
  <dimension ref="A1:U29"/>
  <sheetViews>
    <sheetView workbookViewId="0">
      <selection activeCell="M18" sqref="M18"/>
    </sheetView>
  </sheetViews>
  <sheetFormatPr defaultColWidth="13.33203125" defaultRowHeight="14.4" x14ac:dyDescent="0.3"/>
  <cols>
    <col min="1" max="1" width="32.33203125" customWidth="1"/>
    <col min="2" max="3" width="8.109375" bestFit="1" customWidth="1"/>
    <col min="4" max="4" width="9" bestFit="1" customWidth="1"/>
    <col min="5" max="5" width="8.109375" bestFit="1" customWidth="1"/>
    <col min="6" max="6" width="9" bestFit="1" customWidth="1"/>
    <col min="7" max="9" width="8.109375" bestFit="1" customWidth="1"/>
    <col min="10" max="13" width="10.5546875" bestFit="1" customWidth="1"/>
    <col min="14" max="14" width="10" bestFit="1" customWidth="1"/>
    <col min="20" max="20" width="15.6640625" bestFit="1" customWidth="1"/>
  </cols>
  <sheetData>
    <row r="1" spans="1:21" x14ac:dyDescent="0.3">
      <c r="A1" s="182" t="s">
        <v>1095</v>
      </c>
      <c r="B1" s="182" t="s">
        <v>1096</v>
      </c>
      <c r="C1" s="182" t="s">
        <v>1096</v>
      </c>
      <c r="D1" s="182" t="s">
        <v>1096</v>
      </c>
      <c r="E1" s="182" t="s">
        <v>1096</v>
      </c>
      <c r="F1" s="182" t="s">
        <v>1096</v>
      </c>
      <c r="G1" s="182" t="s">
        <v>1096</v>
      </c>
      <c r="H1" s="182" t="s">
        <v>1096</v>
      </c>
      <c r="I1" s="182" t="s">
        <v>1096</v>
      </c>
      <c r="J1" s="182" t="s">
        <v>1097</v>
      </c>
      <c r="K1" s="182" t="s">
        <v>1097</v>
      </c>
      <c r="L1" s="182" t="s">
        <v>1097</v>
      </c>
      <c r="M1" s="182" t="s">
        <v>1097</v>
      </c>
      <c r="N1" s="182" t="s">
        <v>1098</v>
      </c>
      <c r="O1" s="182" t="s">
        <v>1099</v>
      </c>
      <c r="P1" s="182" t="s">
        <v>1098</v>
      </c>
    </row>
    <row r="2" spans="1:21" ht="39.6" x14ac:dyDescent="0.3">
      <c r="A2" s="183" t="s">
        <v>1100</v>
      </c>
      <c r="B2" s="184">
        <v>45748</v>
      </c>
      <c r="C2" s="184">
        <v>45778</v>
      </c>
      <c r="D2" s="184">
        <v>45809</v>
      </c>
      <c r="E2" s="184">
        <v>45839</v>
      </c>
      <c r="F2" s="184">
        <v>45870</v>
      </c>
      <c r="G2" s="184">
        <v>45901</v>
      </c>
      <c r="H2" s="184">
        <v>45931</v>
      </c>
      <c r="I2" s="184">
        <v>45962</v>
      </c>
      <c r="J2" s="184">
        <v>45992</v>
      </c>
      <c r="K2" s="184">
        <v>46023</v>
      </c>
      <c r="L2" s="184">
        <v>46054</v>
      </c>
      <c r="M2" s="184">
        <v>46082</v>
      </c>
      <c r="N2" s="185" t="s">
        <v>1101</v>
      </c>
      <c r="O2" s="185" t="s">
        <v>1102</v>
      </c>
      <c r="P2" s="185" t="s">
        <v>1103</v>
      </c>
      <c r="R2" s="194" t="s">
        <v>1120</v>
      </c>
      <c r="S2" s="194" t="s">
        <v>1121</v>
      </c>
      <c r="T2" s="194" t="s">
        <v>1122</v>
      </c>
      <c r="U2" s="194" t="s">
        <v>1123</v>
      </c>
    </row>
    <row r="3" spans="1:21" x14ac:dyDescent="0.3">
      <c r="A3" s="186" t="s">
        <v>1104</v>
      </c>
      <c r="B3" s="187">
        <v>107411</v>
      </c>
      <c r="C3" s="187">
        <v>107411</v>
      </c>
      <c r="D3" s="187">
        <v>107411</v>
      </c>
      <c r="E3" s="187">
        <v>107411</v>
      </c>
      <c r="F3" s="187">
        <v>107411</v>
      </c>
      <c r="G3" s="187">
        <v>107411</v>
      </c>
      <c r="H3" s="187">
        <v>107411</v>
      </c>
      <c r="I3" s="187">
        <v>107411</v>
      </c>
      <c r="J3" s="187">
        <v>107411</v>
      </c>
      <c r="K3" s="187">
        <v>116004</v>
      </c>
      <c r="L3" s="187">
        <v>116004</v>
      </c>
      <c r="M3" s="187">
        <v>116004</v>
      </c>
      <c r="N3" s="187">
        <f>SUM(B3:M3)</f>
        <v>1314711</v>
      </c>
      <c r="O3" s="188"/>
      <c r="P3" s="187">
        <v>1288932</v>
      </c>
      <c r="R3" s="195">
        <v>0</v>
      </c>
      <c r="S3" s="196">
        <v>400000</v>
      </c>
      <c r="T3" s="197" t="s">
        <v>1124</v>
      </c>
      <c r="U3" s="195">
        <v>0</v>
      </c>
    </row>
    <row r="4" spans="1:21" x14ac:dyDescent="0.3">
      <c r="A4" s="186" t="s">
        <v>1105</v>
      </c>
      <c r="B4" s="187">
        <v>53705</v>
      </c>
      <c r="C4" s="187">
        <v>53705</v>
      </c>
      <c r="D4" s="187">
        <v>53705</v>
      </c>
      <c r="E4" s="187">
        <v>53705</v>
      </c>
      <c r="F4" s="187">
        <v>53705</v>
      </c>
      <c r="G4" s="187">
        <v>53705</v>
      </c>
      <c r="H4" s="187">
        <v>53705</v>
      </c>
      <c r="I4" s="187">
        <v>53705</v>
      </c>
      <c r="J4" s="187">
        <v>53705</v>
      </c>
      <c r="K4" s="187">
        <v>58002</v>
      </c>
      <c r="L4" s="187">
        <v>58002</v>
      </c>
      <c r="M4" s="187">
        <v>58002</v>
      </c>
      <c r="N4" s="187">
        <f>SUM(B4:M4)</f>
        <v>657351</v>
      </c>
      <c r="O4" s="188"/>
      <c r="P4" s="187">
        <v>644460</v>
      </c>
      <c r="R4" s="196">
        <v>400001</v>
      </c>
      <c r="S4" s="196">
        <v>800000</v>
      </c>
      <c r="T4" s="197" t="s">
        <v>1125</v>
      </c>
      <c r="U4" s="196">
        <v>20000</v>
      </c>
    </row>
    <row r="5" spans="1:21" ht="26.4" x14ac:dyDescent="0.3">
      <c r="A5" s="186" t="s">
        <v>1106</v>
      </c>
      <c r="B5" s="188">
        <v>200</v>
      </c>
      <c r="C5" s="188">
        <v>200</v>
      </c>
      <c r="D5" s="188">
        <v>200</v>
      </c>
      <c r="E5" s="188">
        <v>200</v>
      </c>
      <c r="F5" s="188">
        <v>200</v>
      </c>
      <c r="G5" s="188">
        <v>200</v>
      </c>
      <c r="H5" s="188">
        <v>200</v>
      </c>
      <c r="I5" s="188">
        <v>200</v>
      </c>
      <c r="J5" s="188">
        <v>200</v>
      </c>
      <c r="K5" s="188">
        <v>200</v>
      </c>
      <c r="L5" s="188">
        <v>200</v>
      </c>
      <c r="M5" s="188">
        <v>200</v>
      </c>
      <c r="N5" s="187">
        <f>SUM(B5:M5)</f>
        <v>2400</v>
      </c>
      <c r="O5" s="188"/>
      <c r="P5" s="187">
        <v>2400</v>
      </c>
      <c r="R5" s="196">
        <v>800001</v>
      </c>
      <c r="S5" s="196">
        <v>1200000</v>
      </c>
      <c r="T5" s="197" t="s">
        <v>1126</v>
      </c>
      <c r="U5" s="196">
        <v>40000</v>
      </c>
    </row>
    <row r="6" spans="1:21" ht="26.4" x14ac:dyDescent="0.3">
      <c r="A6" s="186" t="s">
        <v>1107</v>
      </c>
      <c r="B6" s="187">
        <v>3500</v>
      </c>
      <c r="C6" s="187">
        <v>3500</v>
      </c>
      <c r="D6" s="187">
        <v>3500</v>
      </c>
      <c r="E6" s="187">
        <v>3500</v>
      </c>
      <c r="F6" s="187">
        <v>3500</v>
      </c>
      <c r="G6" s="187">
        <v>3500</v>
      </c>
      <c r="H6" s="187">
        <v>3500</v>
      </c>
      <c r="I6" s="187">
        <v>3500</v>
      </c>
      <c r="J6" s="187">
        <v>3500</v>
      </c>
      <c r="K6" s="187">
        <v>3500</v>
      </c>
      <c r="L6" s="187">
        <v>3500</v>
      </c>
      <c r="M6" s="187">
        <v>3500</v>
      </c>
      <c r="N6" s="187">
        <f t="shared" ref="N6:N12" si="0">SUM(B6:M6)</f>
        <v>42000</v>
      </c>
      <c r="O6" s="188"/>
      <c r="P6" s="187">
        <v>42000</v>
      </c>
      <c r="R6" s="196">
        <v>1200001</v>
      </c>
      <c r="S6" s="196">
        <v>1600000</v>
      </c>
      <c r="T6" s="197" t="s">
        <v>1127</v>
      </c>
      <c r="U6" s="196">
        <v>60000</v>
      </c>
    </row>
    <row r="7" spans="1:21" ht="26.4" x14ac:dyDescent="0.3">
      <c r="A7" s="186" t="s">
        <v>1108</v>
      </c>
      <c r="B7" s="187">
        <v>5000</v>
      </c>
      <c r="C7" s="187">
        <v>5000</v>
      </c>
      <c r="D7" s="187">
        <v>5000</v>
      </c>
      <c r="E7" s="187">
        <v>5000</v>
      </c>
      <c r="F7" s="187">
        <v>5000</v>
      </c>
      <c r="G7" s="187">
        <v>5000</v>
      </c>
      <c r="H7" s="187">
        <v>5000</v>
      </c>
      <c r="I7" s="187">
        <v>5000</v>
      </c>
      <c r="J7" s="187">
        <v>5000</v>
      </c>
      <c r="K7" s="187">
        <v>5000</v>
      </c>
      <c r="L7" s="187">
        <v>5000</v>
      </c>
      <c r="M7" s="187">
        <v>5000</v>
      </c>
      <c r="N7" s="187">
        <f t="shared" si="0"/>
        <v>60000</v>
      </c>
      <c r="O7" s="188"/>
      <c r="P7" s="187">
        <v>60000</v>
      </c>
      <c r="R7" s="196">
        <v>1600001</v>
      </c>
      <c r="S7" s="196">
        <v>2000000</v>
      </c>
      <c r="T7" s="197" t="s">
        <v>1128</v>
      </c>
      <c r="U7" s="196">
        <v>80000</v>
      </c>
    </row>
    <row r="8" spans="1:21" ht="26.4" x14ac:dyDescent="0.3">
      <c r="A8" s="186" t="s">
        <v>1109</v>
      </c>
      <c r="B8" s="187">
        <v>4167</v>
      </c>
      <c r="C8" s="187">
        <v>4167</v>
      </c>
      <c r="D8" s="187">
        <v>4167</v>
      </c>
      <c r="E8" s="187">
        <v>4167</v>
      </c>
      <c r="F8" s="187">
        <v>4167</v>
      </c>
      <c r="G8" s="187">
        <v>4167</v>
      </c>
      <c r="H8" s="187">
        <v>4167</v>
      </c>
      <c r="I8" s="187">
        <v>4167</v>
      </c>
      <c r="J8" s="187">
        <v>4167</v>
      </c>
      <c r="K8" s="187">
        <v>4167</v>
      </c>
      <c r="L8" s="187">
        <v>4167</v>
      </c>
      <c r="M8" s="187">
        <v>4167</v>
      </c>
      <c r="N8" s="187">
        <f t="shared" si="0"/>
        <v>50004</v>
      </c>
      <c r="O8" s="188"/>
      <c r="P8" s="187">
        <v>50004</v>
      </c>
      <c r="R8" s="196">
        <v>2000001</v>
      </c>
      <c r="S8" s="196">
        <v>2400000</v>
      </c>
      <c r="T8" s="197" t="s">
        <v>1129</v>
      </c>
      <c r="U8" s="196">
        <v>100000</v>
      </c>
    </row>
    <row r="9" spans="1:21" ht="26.4" x14ac:dyDescent="0.3">
      <c r="A9" s="186" t="s">
        <v>1110</v>
      </c>
      <c r="B9" s="187">
        <v>4000</v>
      </c>
      <c r="C9" s="187">
        <v>4000</v>
      </c>
      <c r="D9" s="187">
        <v>4000</v>
      </c>
      <c r="E9" s="187">
        <v>4000</v>
      </c>
      <c r="F9" s="187">
        <v>4000</v>
      </c>
      <c r="G9" s="187">
        <v>4000</v>
      </c>
      <c r="H9" s="187">
        <v>4000</v>
      </c>
      <c r="I9" s="187">
        <v>4000</v>
      </c>
      <c r="J9" s="187">
        <v>4000</v>
      </c>
      <c r="K9" s="187">
        <v>4000</v>
      </c>
      <c r="L9" s="187">
        <v>4000</v>
      </c>
      <c r="M9" s="187">
        <v>4000</v>
      </c>
      <c r="N9" s="187">
        <f t="shared" si="0"/>
        <v>48000</v>
      </c>
      <c r="O9" s="188"/>
      <c r="P9" s="187">
        <v>48000</v>
      </c>
      <c r="R9" s="196">
        <v>2400001</v>
      </c>
      <c r="S9" s="196">
        <v>2986990</v>
      </c>
      <c r="T9" s="197" t="s">
        <v>1130</v>
      </c>
      <c r="U9" s="196">
        <v>176097</v>
      </c>
    </row>
    <row r="10" spans="1:21" x14ac:dyDescent="0.3">
      <c r="A10" s="186" t="s">
        <v>1111</v>
      </c>
      <c r="B10" s="188">
        <v>0</v>
      </c>
      <c r="C10" s="187">
        <v>2231</v>
      </c>
      <c r="D10" s="188">
        <v>0</v>
      </c>
      <c r="E10" s="187">
        <v>8700</v>
      </c>
      <c r="F10" s="188">
        <v>0</v>
      </c>
      <c r="G10" s="188">
        <v>0</v>
      </c>
      <c r="H10" s="187">
        <v>4523</v>
      </c>
      <c r="I10" s="187">
        <v>3846</v>
      </c>
      <c r="J10" s="188">
        <v>153954</v>
      </c>
      <c r="K10" s="188">
        <v>0</v>
      </c>
      <c r="L10" s="188">
        <v>0</v>
      </c>
      <c r="M10" s="188">
        <v>0</v>
      </c>
      <c r="N10" s="187">
        <f t="shared" si="0"/>
        <v>173254</v>
      </c>
      <c r="O10" s="188"/>
      <c r="P10" s="187">
        <v>19300</v>
      </c>
    </row>
    <row r="11" spans="1:21" x14ac:dyDescent="0.3">
      <c r="A11" s="186" t="s">
        <v>1112</v>
      </c>
      <c r="B11" s="187">
        <v>70288</v>
      </c>
      <c r="C11" s="187">
        <v>70288</v>
      </c>
      <c r="D11" s="187">
        <v>70288</v>
      </c>
      <c r="E11" s="187">
        <v>70288</v>
      </c>
      <c r="F11" s="187">
        <v>70288</v>
      </c>
      <c r="G11" s="187">
        <v>70288</v>
      </c>
      <c r="H11" s="187">
        <v>70288</v>
      </c>
      <c r="I11" s="187">
        <v>70288</v>
      </c>
      <c r="J11" s="187">
        <v>70288</v>
      </c>
      <c r="K11" s="187">
        <v>77436</v>
      </c>
      <c r="L11" s="187">
        <v>77436</v>
      </c>
      <c r="M11" s="187">
        <v>77436</v>
      </c>
      <c r="N11" s="187">
        <f t="shared" si="0"/>
        <v>864900</v>
      </c>
      <c r="O11" s="188"/>
      <c r="P11" s="187">
        <v>843456</v>
      </c>
    </row>
    <row r="12" spans="1:21" x14ac:dyDescent="0.3">
      <c r="A12" s="183" t="s">
        <v>1113</v>
      </c>
      <c r="B12" s="189">
        <v>248271</v>
      </c>
      <c r="C12" s="189">
        <v>250502</v>
      </c>
      <c r="D12" s="189">
        <v>248271</v>
      </c>
      <c r="E12" s="189">
        <v>256971</v>
      </c>
      <c r="F12" s="189">
        <v>248271</v>
      </c>
      <c r="G12" s="189">
        <v>248271</v>
      </c>
      <c r="H12" s="189">
        <v>252794</v>
      </c>
      <c r="I12" s="189">
        <v>252117</v>
      </c>
      <c r="J12" s="189">
        <f>SUM(J3:J11)</f>
        <v>402225</v>
      </c>
      <c r="K12" s="189">
        <f>SUM(K3:K11)</f>
        <v>268309</v>
      </c>
      <c r="L12" s="189">
        <f>SUM(L3:L11)</f>
        <v>268309</v>
      </c>
      <c r="M12" s="189">
        <f>SUM(M3:M11)</f>
        <v>268309</v>
      </c>
      <c r="N12" s="187">
        <f t="shared" si="0"/>
        <v>3212620</v>
      </c>
      <c r="O12" s="190">
        <v>0</v>
      </c>
      <c r="P12" s="189">
        <f>SUM(B12:M12)</f>
        <v>3212620</v>
      </c>
    </row>
    <row r="13" spans="1:21" x14ac:dyDescent="0.3">
      <c r="A13" s="236" t="s">
        <v>1114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8"/>
    </row>
    <row r="14" spans="1:21" x14ac:dyDescent="0.3">
      <c r="A14" s="191" t="s">
        <v>1115</v>
      </c>
      <c r="B14" s="189">
        <v>12889</v>
      </c>
      <c r="C14" s="189">
        <v>12889</v>
      </c>
      <c r="D14" s="189">
        <v>12889</v>
      </c>
      <c r="E14" s="189">
        <v>12889</v>
      </c>
      <c r="F14" s="189">
        <v>12889</v>
      </c>
      <c r="G14" s="189">
        <v>12889</v>
      </c>
      <c r="H14" s="189">
        <v>12889</v>
      </c>
      <c r="I14" s="189">
        <v>12889</v>
      </c>
      <c r="J14" s="189">
        <v>12889</v>
      </c>
      <c r="K14" s="189">
        <v>13920</v>
      </c>
      <c r="L14" s="189">
        <v>13920</v>
      </c>
      <c r="M14" s="189">
        <v>13920</v>
      </c>
      <c r="N14" s="189">
        <v>154668</v>
      </c>
      <c r="O14" s="192"/>
      <c r="P14" s="189">
        <v>154668</v>
      </c>
    </row>
    <row r="15" spans="1:21" x14ac:dyDescent="0.3">
      <c r="A15" s="191" t="s">
        <v>1116</v>
      </c>
      <c r="B15" s="192">
        <v>200</v>
      </c>
      <c r="C15" s="192">
        <v>200</v>
      </c>
      <c r="D15" s="192">
        <v>200</v>
      </c>
      <c r="E15" s="192">
        <v>200</v>
      </c>
      <c r="F15" s="192">
        <v>200</v>
      </c>
      <c r="G15" s="192">
        <v>200</v>
      </c>
      <c r="H15" s="192">
        <v>200</v>
      </c>
      <c r="I15" s="192">
        <v>200</v>
      </c>
      <c r="J15" s="192">
        <v>200</v>
      </c>
      <c r="K15" s="192">
        <v>200</v>
      </c>
      <c r="L15" s="192">
        <v>300</v>
      </c>
      <c r="M15" s="192">
        <v>200</v>
      </c>
      <c r="N15" s="189">
        <v>2500</v>
      </c>
      <c r="O15" s="192"/>
      <c r="P15" s="189">
        <v>2500</v>
      </c>
    </row>
    <row r="16" spans="1:21" x14ac:dyDescent="0.3">
      <c r="A16" s="191" t="s">
        <v>1117</v>
      </c>
      <c r="B16" s="193">
        <v>39111</v>
      </c>
      <c r="C16" s="193">
        <v>41494</v>
      </c>
      <c r="D16" s="193">
        <v>39242</v>
      </c>
      <c r="E16" s="193">
        <v>49302</v>
      </c>
      <c r="F16" s="193">
        <v>39404</v>
      </c>
      <c r="G16" s="193">
        <v>39502</v>
      </c>
      <c r="H16" s="193">
        <v>44321</v>
      </c>
      <c r="I16" s="193">
        <v>43754</v>
      </c>
      <c r="J16" s="189">
        <v>90000</v>
      </c>
      <c r="K16" s="189">
        <v>43754</v>
      </c>
      <c r="L16" s="189">
        <v>43754</v>
      </c>
      <c r="M16" s="189">
        <v>43754</v>
      </c>
      <c r="N16" s="189">
        <f>SUM(B16:M16)</f>
        <v>557392</v>
      </c>
      <c r="O16" s="192"/>
      <c r="P16" s="189">
        <v>495142</v>
      </c>
    </row>
    <row r="17" spans="1:16" x14ac:dyDescent="0.3">
      <c r="A17" s="183" t="s">
        <v>1118</v>
      </c>
      <c r="B17" s="189">
        <v>52200</v>
      </c>
      <c r="C17" s="189">
        <v>54583</v>
      </c>
      <c r="D17" s="189">
        <v>52331</v>
      </c>
      <c r="E17" s="189">
        <v>62391</v>
      </c>
      <c r="F17" s="189">
        <v>52493</v>
      </c>
      <c r="G17" s="189">
        <v>52591</v>
      </c>
      <c r="H17" s="189">
        <v>57410</v>
      </c>
      <c r="I17" s="189">
        <v>56843</v>
      </c>
      <c r="J17" s="189">
        <f>SUM(J14:J16)</f>
        <v>103089</v>
      </c>
      <c r="K17" s="189">
        <f>SUM(K14:K16)</f>
        <v>57874</v>
      </c>
      <c r="L17" s="189">
        <f>SUM(L14:L16)</f>
        <v>57974</v>
      </c>
      <c r="M17" s="189">
        <f>SUM(M14:M16)</f>
        <v>57874</v>
      </c>
      <c r="N17" s="189">
        <v>652210</v>
      </c>
      <c r="O17" s="192"/>
      <c r="P17" s="189">
        <v>652210</v>
      </c>
    </row>
    <row r="18" spans="1:16" x14ac:dyDescent="0.3">
      <c r="A18" s="183" t="s">
        <v>1119</v>
      </c>
      <c r="B18" s="189">
        <v>196071</v>
      </c>
      <c r="C18" s="189">
        <v>195919</v>
      </c>
      <c r="D18" s="189">
        <v>195940</v>
      </c>
      <c r="E18" s="189">
        <v>194580</v>
      </c>
      <c r="F18" s="189">
        <v>195778</v>
      </c>
      <c r="G18" s="189">
        <v>195680</v>
      </c>
      <c r="H18" s="189">
        <v>195384</v>
      </c>
      <c r="I18" s="189">
        <v>195274</v>
      </c>
      <c r="J18" s="189">
        <f>J12-J17</f>
        <v>299136</v>
      </c>
      <c r="K18" s="189">
        <f>K12-K17</f>
        <v>210435</v>
      </c>
      <c r="L18" s="189">
        <f>L12-L17</f>
        <v>210335</v>
      </c>
      <c r="M18" s="189"/>
      <c r="N18" s="189">
        <v>2346342</v>
      </c>
      <c r="O18" s="192">
        <v>0</v>
      </c>
      <c r="P18" s="189">
        <v>2346342</v>
      </c>
    </row>
    <row r="19" spans="1:16" x14ac:dyDescent="0.3">
      <c r="I19" s="76"/>
    </row>
    <row r="22" spans="1:16" x14ac:dyDescent="0.3">
      <c r="D22">
        <v>3222328</v>
      </c>
      <c r="F22">
        <v>3480113</v>
      </c>
    </row>
    <row r="23" spans="1:16" x14ac:dyDescent="0.3">
      <c r="D23">
        <v>-144440</v>
      </c>
      <c r="F23">
        <v>-234003</v>
      </c>
    </row>
    <row r="24" spans="1:16" x14ac:dyDescent="0.3">
      <c r="D24">
        <f>SUM(D22:D23)</f>
        <v>3077888</v>
      </c>
      <c r="F24">
        <f>SUM(F22:F23)</f>
        <v>3246110</v>
      </c>
    </row>
    <row r="25" spans="1:16" x14ac:dyDescent="0.3">
      <c r="D25">
        <f>D24/12</f>
        <v>256490.66666666666</v>
      </c>
      <c r="F25">
        <f>F24/12</f>
        <v>270509.16666666669</v>
      </c>
    </row>
    <row r="27" spans="1:16" x14ac:dyDescent="0.3">
      <c r="D27">
        <f>248272*12</f>
        <v>2979264</v>
      </c>
    </row>
    <row r="28" spans="1:16" x14ac:dyDescent="0.3">
      <c r="D28">
        <f>2200*12</f>
        <v>26400</v>
      </c>
    </row>
    <row r="29" spans="1:16" x14ac:dyDescent="0.3">
      <c r="D29">
        <f>SUM(D27:D28)</f>
        <v>3005664</v>
      </c>
    </row>
  </sheetData>
  <mergeCells count="1">
    <mergeCell ref="A13:P13"/>
  </mergeCells>
  <hyperlinks>
    <hyperlink ref="O12" r:id="rId1" display="https://ess.excelityglobal.com/DynamicMenuServlet?url=/empCumPaySlip.jsp" xr:uid="{1C17CFE0-663E-4242-A9D2-4BE213D709CD}"/>
    <hyperlink ref="B16" r:id="rId2" display="https://ess.excelityglobal.com/DynamicMenuServlet?url=/empCumPaySlip.jsp" xr:uid="{6E30CB54-1C96-42C5-9338-F16FA79F9C2E}"/>
    <hyperlink ref="C16" r:id="rId3" display="https://ess.excelityglobal.com/DynamicMenuServlet?url=/empCumPaySlip.jsp" xr:uid="{82A2DC86-384E-42F8-892F-7F3640C82ACC}"/>
    <hyperlink ref="D16" r:id="rId4" display="https://ess.excelityglobal.com/DynamicMenuServlet?url=/empCumPaySlip.jsp" xr:uid="{F75BD4FC-B447-48C8-AE81-285F9B44C8E5}"/>
    <hyperlink ref="E16" r:id="rId5" display="https://ess.excelityglobal.com/DynamicMenuServlet?url=/empCumPaySlip.jsp" xr:uid="{CB1B7255-87B6-415B-9B1C-0948390B31EE}"/>
    <hyperlink ref="F16" r:id="rId6" display="https://ess.excelityglobal.com/DynamicMenuServlet?url=/empCumPaySlip.jsp" xr:uid="{4783188E-3994-45E5-BCFB-35F6B4E0E345}"/>
    <hyperlink ref="G16" r:id="rId7" display="https://ess.excelityglobal.com/DynamicMenuServlet?url=/empCumPaySlip.jsp" xr:uid="{B70FB9A3-7CCA-49CC-B65A-377680F1C963}"/>
    <hyperlink ref="H16" r:id="rId8" display="https://ess.excelityglobal.com/DynamicMenuServlet?url=/empCumPaySlip.jsp" xr:uid="{865F1C0C-24F3-4F96-8112-67129B3FD9A7}"/>
    <hyperlink ref="I16" r:id="rId9" display="https://ess.excelityglobal.com/DynamicMenuServlet?url=/empCumPaySlip.jsp" xr:uid="{64DEA47A-9CA9-47F9-8BEF-F6F6D44717E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65F9-C57B-44D9-867A-6A18210B17EE}">
  <dimension ref="A1:AG86"/>
  <sheetViews>
    <sheetView topLeftCell="M1" workbookViewId="0">
      <selection activeCell="J13" sqref="J13"/>
    </sheetView>
  </sheetViews>
  <sheetFormatPr defaultRowHeight="14.4" x14ac:dyDescent="0.3"/>
  <cols>
    <col min="3" max="3" width="9.88671875" bestFit="1" customWidth="1"/>
    <col min="11" max="32" width="9.44140625" bestFit="1" customWidth="1"/>
  </cols>
  <sheetData>
    <row r="1" spans="1:33" x14ac:dyDescent="0.3">
      <c r="A1" t="s">
        <v>576</v>
      </c>
      <c r="B1" s="15">
        <v>45505</v>
      </c>
      <c r="C1" s="15">
        <v>45506</v>
      </c>
      <c r="D1" s="15">
        <v>45507</v>
      </c>
      <c r="E1" s="15">
        <v>45508</v>
      </c>
      <c r="F1" s="15">
        <v>45509</v>
      </c>
      <c r="G1" s="15">
        <v>45510</v>
      </c>
      <c r="H1" s="15">
        <v>45511</v>
      </c>
      <c r="I1" s="15">
        <v>45512</v>
      </c>
      <c r="J1" s="170">
        <v>45513</v>
      </c>
      <c r="K1" s="15">
        <v>45514</v>
      </c>
      <c r="L1" s="15">
        <v>45515</v>
      </c>
      <c r="M1" s="15">
        <v>45516</v>
      </c>
      <c r="N1" s="15">
        <v>45517</v>
      </c>
      <c r="O1" s="15">
        <v>45518</v>
      </c>
      <c r="P1" s="110">
        <v>45519</v>
      </c>
      <c r="Q1" s="110">
        <v>45520</v>
      </c>
      <c r="R1" s="15">
        <v>45521</v>
      </c>
      <c r="S1" s="15">
        <v>45522</v>
      </c>
      <c r="T1" s="15">
        <v>45523</v>
      </c>
      <c r="U1" s="15">
        <v>45524</v>
      </c>
      <c r="V1" s="15">
        <v>45525</v>
      </c>
      <c r="W1" s="15">
        <v>45526</v>
      </c>
      <c r="X1" s="15">
        <v>45527</v>
      </c>
      <c r="Y1" s="15">
        <v>45528</v>
      </c>
      <c r="Z1" s="15">
        <v>45529</v>
      </c>
      <c r="AA1" s="15">
        <v>45530</v>
      </c>
      <c r="AB1" s="15">
        <v>45531</v>
      </c>
      <c r="AC1" s="15">
        <v>45532</v>
      </c>
      <c r="AD1" s="15">
        <v>45533</v>
      </c>
      <c r="AE1" s="15">
        <v>45534</v>
      </c>
      <c r="AF1" s="15">
        <v>45535</v>
      </c>
    </row>
    <row r="2" spans="1:33" x14ac:dyDescent="0.3">
      <c r="A2" t="s">
        <v>818</v>
      </c>
      <c r="B2" s="15">
        <v>45536</v>
      </c>
      <c r="C2" s="15">
        <v>45537</v>
      </c>
      <c r="D2" s="15">
        <v>45538</v>
      </c>
      <c r="E2" s="15">
        <v>45539</v>
      </c>
      <c r="F2" s="15">
        <v>45540</v>
      </c>
      <c r="G2" s="15">
        <v>45541</v>
      </c>
      <c r="H2" s="15">
        <v>45542</v>
      </c>
      <c r="I2" s="15">
        <v>45543</v>
      </c>
      <c r="J2" s="15">
        <v>45544</v>
      </c>
      <c r="K2" s="15">
        <v>45545</v>
      </c>
      <c r="L2" s="15">
        <v>45546</v>
      </c>
      <c r="M2" s="15">
        <v>45547</v>
      </c>
      <c r="N2" s="15">
        <v>45548</v>
      </c>
      <c r="O2" s="15">
        <v>45549</v>
      </c>
      <c r="P2" s="15">
        <v>45550</v>
      </c>
      <c r="Q2" s="15">
        <v>45551</v>
      </c>
      <c r="R2" s="15">
        <v>45552</v>
      </c>
      <c r="S2" s="15">
        <v>45553</v>
      </c>
      <c r="T2" s="15">
        <v>45554</v>
      </c>
      <c r="U2" s="15">
        <v>45555</v>
      </c>
      <c r="V2" s="15">
        <v>45556</v>
      </c>
      <c r="W2" s="15">
        <v>45557</v>
      </c>
      <c r="X2" s="15">
        <v>45558</v>
      </c>
      <c r="Y2" s="15">
        <v>45559</v>
      </c>
      <c r="Z2" s="15">
        <v>45560</v>
      </c>
      <c r="AA2" s="15">
        <v>45561</v>
      </c>
      <c r="AB2" s="15">
        <v>45562</v>
      </c>
      <c r="AC2" s="15">
        <v>45563</v>
      </c>
      <c r="AD2" s="15">
        <v>45564</v>
      </c>
      <c r="AE2" s="15">
        <v>45565</v>
      </c>
    </row>
    <row r="3" spans="1:33" x14ac:dyDescent="0.3">
      <c r="A3" t="s">
        <v>1000</v>
      </c>
      <c r="B3" s="15">
        <v>45566</v>
      </c>
      <c r="C3" s="110">
        <v>45567</v>
      </c>
      <c r="D3" s="15">
        <v>45568</v>
      </c>
      <c r="E3" s="15">
        <v>45569</v>
      </c>
      <c r="F3" s="15">
        <v>45570</v>
      </c>
      <c r="G3" s="15">
        <v>45571</v>
      </c>
      <c r="H3" s="15">
        <v>45572</v>
      </c>
      <c r="I3" s="15">
        <v>45573</v>
      </c>
      <c r="J3" s="15">
        <v>45574</v>
      </c>
      <c r="K3" s="15">
        <v>45575</v>
      </c>
      <c r="L3" s="110">
        <v>45576</v>
      </c>
      <c r="M3" s="15">
        <v>45577</v>
      </c>
      <c r="N3" s="15">
        <v>45578</v>
      </c>
      <c r="O3" s="15">
        <v>45579</v>
      </c>
      <c r="P3" s="15">
        <v>45580</v>
      </c>
      <c r="Q3" s="15">
        <v>45581</v>
      </c>
      <c r="R3" s="15">
        <v>45582</v>
      </c>
      <c r="S3" s="15">
        <v>45583</v>
      </c>
      <c r="T3" s="15">
        <v>45584</v>
      </c>
      <c r="U3" s="15">
        <v>45585</v>
      </c>
      <c r="V3" s="15">
        <v>45586</v>
      </c>
      <c r="W3" s="15">
        <v>45587</v>
      </c>
      <c r="X3" s="15">
        <v>45588</v>
      </c>
      <c r="Y3" s="15">
        <v>45589</v>
      </c>
      <c r="Z3" s="15">
        <v>45590</v>
      </c>
      <c r="AA3" s="15">
        <v>45591</v>
      </c>
      <c r="AB3" s="15">
        <v>45592</v>
      </c>
      <c r="AC3" s="15">
        <v>45593</v>
      </c>
      <c r="AD3" s="15">
        <v>45594</v>
      </c>
      <c r="AE3" s="15">
        <v>45595</v>
      </c>
      <c r="AF3" s="15">
        <v>45596</v>
      </c>
    </row>
    <row r="4" spans="1:33" x14ac:dyDescent="0.3">
      <c r="A4" t="s">
        <v>1001</v>
      </c>
      <c r="B4" s="110">
        <v>45597</v>
      </c>
      <c r="C4" s="15">
        <v>45598</v>
      </c>
      <c r="D4" s="15">
        <v>45599</v>
      </c>
      <c r="E4" s="15">
        <v>45600</v>
      </c>
      <c r="F4" s="15">
        <v>45601</v>
      </c>
      <c r="G4" s="15">
        <v>45602</v>
      </c>
      <c r="H4" s="15">
        <v>45603</v>
      </c>
      <c r="I4" s="15">
        <v>45604</v>
      </c>
      <c r="J4" s="15">
        <v>45605</v>
      </c>
      <c r="K4" s="15">
        <v>45606</v>
      </c>
      <c r="L4" s="15">
        <v>45607</v>
      </c>
      <c r="M4" s="15">
        <v>45608</v>
      </c>
      <c r="N4" s="15">
        <v>45609</v>
      </c>
      <c r="O4" s="15">
        <v>45610</v>
      </c>
      <c r="P4" s="15">
        <v>45611</v>
      </c>
      <c r="Q4" s="15">
        <v>45612</v>
      </c>
      <c r="R4" s="15">
        <v>45613</v>
      </c>
      <c r="S4" s="15">
        <v>45614</v>
      </c>
      <c r="T4" s="15">
        <v>45615</v>
      </c>
      <c r="U4" s="15">
        <v>45616</v>
      </c>
      <c r="V4" s="15">
        <v>45617</v>
      </c>
      <c r="W4" s="15">
        <v>45618</v>
      </c>
      <c r="X4" s="15">
        <v>45619</v>
      </c>
      <c r="Y4" s="15">
        <v>45620</v>
      </c>
      <c r="Z4" s="15">
        <v>45621</v>
      </c>
      <c r="AA4" s="15">
        <v>45622</v>
      </c>
      <c r="AB4" s="15">
        <v>45623</v>
      </c>
      <c r="AC4" s="15">
        <v>45624</v>
      </c>
      <c r="AD4" s="15">
        <v>45625</v>
      </c>
      <c r="AE4" s="15">
        <v>45626</v>
      </c>
      <c r="AF4" s="15"/>
    </row>
    <row r="5" spans="1:33" x14ac:dyDescent="0.3">
      <c r="A5" t="s">
        <v>826</v>
      </c>
      <c r="B5" s="43">
        <v>45627</v>
      </c>
      <c r="C5" s="170">
        <v>45628</v>
      </c>
      <c r="D5" s="170">
        <v>45629</v>
      </c>
      <c r="E5" s="170">
        <v>45630</v>
      </c>
      <c r="F5" s="170">
        <v>45631</v>
      </c>
      <c r="G5" s="170">
        <v>45632</v>
      </c>
      <c r="H5" s="43">
        <v>45633</v>
      </c>
      <c r="I5" s="43">
        <v>45634</v>
      </c>
      <c r="J5" s="170">
        <v>45635</v>
      </c>
      <c r="K5" s="170">
        <v>45636</v>
      </c>
      <c r="L5" s="170">
        <v>45637</v>
      </c>
      <c r="M5" s="170">
        <v>45638</v>
      </c>
      <c r="N5" s="170">
        <v>45639</v>
      </c>
      <c r="O5" s="43">
        <v>45640</v>
      </c>
      <c r="P5" s="43">
        <v>45641</v>
      </c>
      <c r="Q5" s="170">
        <v>45642</v>
      </c>
      <c r="R5" s="170">
        <v>45643</v>
      </c>
      <c r="S5" s="170">
        <v>45644</v>
      </c>
      <c r="T5" s="170">
        <v>45645</v>
      </c>
      <c r="U5" s="170">
        <v>45646</v>
      </c>
      <c r="V5" s="43">
        <v>45647</v>
      </c>
      <c r="W5" s="43">
        <v>45648</v>
      </c>
      <c r="X5" s="170">
        <v>45649</v>
      </c>
      <c r="Y5" s="170">
        <v>45650</v>
      </c>
      <c r="Z5" s="110">
        <v>45651</v>
      </c>
      <c r="AA5" s="170">
        <v>45652</v>
      </c>
      <c r="AB5" s="170">
        <v>45653</v>
      </c>
      <c r="AC5" s="43">
        <v>45654</v>
      </c>
      <c r="AD5" s="43">
        <v>45655</v>
      </c>
      <c r="AE5" s="170">
        <v>45656</v>
      </c>
      <c r="AF5" s="170">
        <v>45657</v>
      </c>
      <c r="AG5" s="15">
        <v>45658</v>
      </c>
    </row>
    <row r="6" spans="1:33" x14ac:dyDescent="0.3">
      <c r="C6">
        <v>1</v>
      </c>
      <c r="D6">
        <v>2</v>
      </c>
      <c r="E6">
        <v>3</v>
      </c>
      <c r="F6">
        <v>4</v>
      </c>
      <c r="G6">
        <v>5</v>
      </c>
      <c r="J6">
        <v>6</v>
      </c>
      <c r="K6">
        <v>7</v>
      </c>
      <c r="L6">
        <v>8</v>
      </c>
      <c r="M6">
        <v>9</v>
      </c>
      <c r="N6">
        <v>10</v>
      </c>
      <c r="Q6">
        <v>11</v>
      </c>
      <c r="R6">
        <v>12</v>
      </c>
      <c r="S6">
        <v>13</v>
      </c>
      <c r="T6">
        <v>14</v>
      </c>
      <c r="U6">
        <v>15</v>
      </c>
      <c r="X6">
        <v>16</v>
      </c>
      <c r="Y6">
        <v>17</v>
      </c>
      <c r="AA6">
        <v>18</v>
      </c>
      <c r="AB6">
        <v>19</v>
      </c>
      <c r="AE6">
        <v>20</v>
      </c>
      <c r="AF6">
        <v>21</v>
      </c>
    </row>
    <row r="7" spans="1:33" x14ac:dyDescent="0.3">
      <c r="A7" t="s">
        <v>827</v>
      </c>
      <c r="B7" s="15">
        <v>45658</v>
      </c>
      <c r="C7" s="15">
        <v>45659</v>
      </c>
      <c r="D7" s="15">
        <v>45660</v>
      </c>
      <c r="E7" s="15">
        <v>45661</v>
      </c>
      <c r="F7" s="15">
        <v>45662</v>
      </c>
      <c r="G7" s="15">
        <v>45663</v>
      </c>
      <c r="H7" s="15">
        <v>45664</v>
      </c>
      <c r="I7" s="15">
        <v>45665</v>
      </c>
      <c r="J7" s="15">
        <v>45666</v>
      </c>
      <c r="K7" s="15">
        <v>45667</v>
      </c>
      <c r="L7" s="15">
        <v>45668</v>
      </c>
      <c r="M7" s="15">
        <v>45669</v>
      </c>
      <c r="N7" s="15">
        <v>45670</v>
      </c>
      <c r="O7" s="15">
        <v>45671</v>
      </c>
      <c r="P7" s="15">
        <v>45672</v>
      </c>
      <c r="Q7" s="15">
        <v>45673</v>
      </c>
      <c r="R7" s="15">
        <v>45674</v>
      </c>
      <c r="S7" s="15">
        <v>45675</v>
      </c>
      <c r="T7" s="15">
        <v>45676</v>
      </c>
      <c r="U7" s="15">
        <v>45677</v>
      </c>
      <c r="V7" s="15">
        <v>45678</v>
      </c>
      <c r="W7" s="15">
        <v>45679</v>
      </c>
      <c r="X7" s="15">
        <v>45680</v>
      </c>
      <c r="Y7" s="15">
        <v>45681</v>
      </c>
      <c r="Z7" s="15">
        <v>45682</v>
      </c>
      <c r="AA7" s="15">
        <v>45683</v>
      </c>
      <c r="AB7" s="15">
        <v>45684</v>
      </c>
      <c r="AC7" s="15">
        <v>45685</v>
      </c>
      <c r="AD7" s="15">
        <v>45686</v>
      </c>
      <c r="AE7" s="15">
        <v>45687</v>
      </c>
      <c r="AF7" s="15">
        <v>45688</v>
      </c>
    </row>
    <row r="8" spans="1:33" x14ac:dyDescent="0.3">
      <c r="A8" t="s">
        <v>571</v>
      </c>
      <c r="B8" s="15">
        <v>45689</v>
      </c>
      <c r="C8" s="15">
        <v>45690</v>
      </c>
      <c r="D8" s="15">
        <v>45691</v>
      </c>
      <c r="E8" s="15">
        <v>45692</v>
      </c>
      <c r="F8" s="15">
        <v>45693</v>
      </c>
      <c r="G8" s="15">
        <v>45694</v>
      </c>
      <c r="H8" s="15">
        <v>45695</v>
      </c>
      <c r="I8" s="15">
        <v>45696</v>
      </c>
      <c r="J8" s="15">
        <v>45697</v>
      </c>
      <c r="K8" s="15">
        <v>45698</v>
      </c>
      <c r="L8" s="15">
        <v>45699</v>
      </c>
      <c r="M8" s="15">
        <v>45700</v>
      </c>
      <c r="N8" s="15">
        <v>45701</v>
      </c>
      <c r="O8" s="15">
        <v>45702</v>
      </c>
      <c r="P8" s="15">
        <v>45703</v>
      </c>
      <c r="Q8" s="15">
        <v>45704</v>
      </c>
      <c r="R8" s="15">
        <v>45705</v>
      </c>
      <c r="S8" s="15">
        <v>45706</v>
      </c>
      <c r="T8" s="15">
        <v>45707</v>
      </c>
      <c r="U8" s="15">
        <v>45708</v>
      </c>
      <c r="V8" s="15">
        <v>45709</v>
      </c>
      <c r="W8" s="15">
        <v>45710</v>
      </c>
      <c r="X8" s="15">
        <v>45711</v>
      </c>
      <c r="Y8" s="15">
        <v>45712</v>
      </c>
      <c r="Z8" s="15">
        <v>45713</v>
      </c>
      <c r="AA8" s="15">
        <v>45714</v>
      </c>
      <c r="AB8" s="15">
        <v>45715</v>
      </c>
      <c r="AC8" s="15">
        <v>45716</v>
      </c>
      <c r="AD8" s="15"/>
      <c r="AE8" s="15"/>
    </row>
    <row r="9" spans="1:33" x14ac:dyDescent="0.3">
      <c r="A9" t="s">
        <v>1002</v>
      </c>
      <c r="B9" s="15">
        <v>45717</v>
      </c>
      <c r="C9" s="15">
        <v>45718</v>
      </c>
      <c r="D9" s="15">
        <v>45719</v>
      </c>
      <c r="E9" s="15">
        <v>45720</v>
      </c>
      <c r="F9" s="15">
        <v>45721</v>
      </c>
      <c r="G9" s="15">
        <v>45722</v>
      </c>
      <c r="H9" s="15">
        <v>45723</v>
      </c>
      <c r="I9" s="15">
        <v>45724</v>
      </c>
      <c r="J9" s="15">
        <v>45725</v>
      </c>
      <c r="K9" s="15">
        <v>45726</v>
      </c>
      <c r="L9" s="15">
        <v>45727</v>
      </c>
      <c r="M9" s="15">
        <v>45728</v>
      </c>
      <c r="N9" s="15">
        <v>45729</v>
      </c>
      <c r="O9" s="15">
        <v>45730</v>
      </c>
      <c r="P9" s="15">
        <v>45731</v>
      </c>
      <c r="Q9" s="15">
        <v>45732</v>
      </c>
      <c r="R9" s="15">
        <v>45733</v>
      </c>
      <c r="S9" s="15">
        <v>45734</v>
      </c>
      <c r="T9" s="15">
        <v>45735</v>
      </c>
      <c r="U9" s="15">
        <v>45736</v>
      </c>
      <c r="V9" s="15">
        <v>45737</v>
      </c>
      <c r="W9" s="15">
        <v>45738</v>
      </c>
      <c r="X9" s="15">
        <v>45739</v>
      </c>
      <c r="Y9" s="15">
        <v>45740</v>
      </c>
      <c r="Z9" s="15">
        <v>45741</v>
      </c>
      <c r="AA9" s="15">
        <v>45742</v>
      </c>
      <c r="AB9" s="15">
        <v>45743</v>
      </c>
      <c r="AC9" s="15">
        <v>45744</v>
      </c>
      <c r="AD9" s="15">
        <v>45745</v>
      </c>
      <c r="AE9" s="15">
        <v>45746</v>
      </c>
      <c r="AF9" s="15">
        <v>45747</v>
      </c>
    </row>
    <row r="11" spans="1:33" x14ac:dyDescent="0.3">
      <c r="C11" s="239" t="s">
        <v>359</v>
      </c>
      <c r="D11" s="239"/>
      <c r="E11" s="239"/>
      <c r="F11" s="24"/>
      <c r="I11" s="1">
        <v>45474</v>
      </c>
      <c r="J11" s="1">
        <v>45505</v>
      </c>
      <c r="K11" s="1">
        <v>45536</v>
      </c>
      <c r="L11" s="1">
        <v>45566</v>
      </c>
      <c r="M11" s="1">
        <v>45597</v>
      </c>
      <c r="N11" s="1">
        <v>45627</v>
      </c>
      <c r="O11" s="1">
        <v>45658</v>
      </c>
      <c r="P11" s="1">
        <v>45689</v>
      </c>
      <c r="Q11" s="1">
        <v>45717</v>
      </c>
    </row>
    <row r="12" spans="1:33" x14ac:dyDescent="0.3">
      <c r="C12" s="24" t="s">
        <v>911</v>
      </c>
      <c r="D12" s="24" t="s">
        <v>399</v>
      </c>
      <c r="E12" s="24" t="s">
        <v>908</v>
      </c>
      <c r="F12" s="24"/>
      <c r="H12" t="s">
        <v>972</v>
      </c>
      <c r="I12" s="51">
        <v>15000</v>
      </c>
      <c r="J12" s="51">
        <v>15000</v>
      </c>
      <c r="K12">
        <v>15000</v>
      </c>
    </row>
    <row r="13" spans="1:33" x14ac:dyDescent="0.3">
      <c r="C13" s="144">
        <v>44340</v>
      </c>
      <c r="D13" s="145">
        <v>10</v>
      </c>
      <c r="E13" s="145">
        <v>3385</v>
      </c>
      <c r="F13" s="145">
        <f>D13*E13</f>
        <v>33850</v>
      </c>
      <c r="H13" t="s">
        <v>973</v>
      </c>
      <c r="I13" s="51">
        <v>6000</v>
      </c>
      <c r="J13" s="51">
        <v>6000</v>
      </c>
      <c r="K13">
        <v>6000</v>
      </c>
    </row>
    <row r="14" spans="1:33" x14ac:dyDescent="0.3">
      <c r="C14" s="144">
        <v>44686</v>
      </c>
      <c r="D14" s="145">
        <v>7</v>
      </c>
      <c r="E14" s="145">
        <v>3337</v>
      </c>
      <c r="F14" s="145">
        <f>D14*E14</f>
        <v>23359</v>
      </c>
      <c r="H14" t="s">
        <v>971</v>
      </c>
      <c r="I14" s="51">
        <v>15270</v>
      </c>
      <c r="J14">
        <v>0</v>
      </c>
      <c r="K14">
        <v>15000</v>
      </c>
    </row>
    <row r="15" spans="1:33" x14ac:dyDescent="0.3">
      <c r="C15" s="144">
        <v>44690</v>
      </c>
      <c r="D15" s="145">
        <v>2</v>
      </c>
      <c r="E15" s="145">
        <v>3250</v>
      </c>
      <c r="F15" s="145">
        <f>D15*E15</f>
        <v>6500</v>
      </c>
      <c r="H15" s="165"/>
    </row>
    <row r="16" spans="1:33" x14ac:dyDescent="0.3">
      <c r="C16" s="145"/>
      <c r="D16" s="24">
        <f>SUM(D13:D15)</f>
        <v>19</v>
      </c>
      <c r="E16" s="145"/>
      <c r="F16" s="146">
        <f>SUM(F13:F15)</f>
        <v>63709</v>
      </c>
    </row>
    <row r="17" spans="3:15" x14ac:dyDescent="0.3">
      <c r="C17" s="24" t="s">
        <v>910</v>
      </c>
      <c r="D17" s="24" t="s">
        <v>399</v>
      </c>
      <c r="E17" s="24" t="s">
        <v>909</v>
      </c>
      <c r="F17" s="145"/>
    </row>
    <row r="18" spans="3:15" x14ac:dyDescent="0.3">
      <c r="C18" s="144">
        <v>44734</v>
      </c>
      <c r="D18" s="24">
        <v>19</v>
      </c>
      <c r="E18" s="24">
        <v>3407</v>
      </c>
      <c r="F18" s="146">
        <f>D18*E18</f>
        <v>64733</v>
      </c>
    </row>
    <row r="19" spans="3:15" x14ac:dyDescent="0.3">
      <c r="C19" s="24"/>
      <c r="D19" s="24"/>
      <c r="E19" s="24"/>
      <c r="F19" s="24"/>
      <c r="O19">
        <f>2.5*83256</f>
        <v>208140</v>
      </c>
    </row>
    <row r="20" spans="3:15" x14ac:dyDescent="0.3">
      <c r="C20" s="24"/>
      <c r="D20" s="24"/>
      <c r="E20" s="24"/>
      <c r="F20" s="24"/>
      <c r="I20" s="7">
        <v>45507</v>
      </c>
      <c r="J20">
        <v>655</v>
      </c>
      <c r="K20">
        <v>0</v>
      </c>
      <c r="L20">
        <v>655000</v>
      </c>
    </row>
    <row r="21" spans="3:15" x14ac:dyDescent="0.3">
      <c r="C21" s="239" t="s">
        <v>497</v>
      </c>
      <c r="D21" s="239"/>
      <c r="E21" s="239"/>
      <c r="F21" s="24"/>
      <c r="I21" s="7">
        <v>45515</v>
      </c>
      <c r="J21">
        <v>668</v>
      </c>
      <c r="K21" s="51">
        <v>51</v>
      </c>
      <c r="L21">
        <v>668000</v>
      </c>
    </row>
    <row r="22" spans="3:15" x14ac:dyDescent="0.3">
      <c r="C22" s="145" t="s">
        <v>353</v>
      </c>
      <c r="D22" s="145" t="s">
        <v>399</v>
      </c>
      <c r="E22" s="145" t="s">
        <v>354</v>
      </c>
      <c r="F22" s="145"/>
      <c r="I22" s="7">
        <v>45517</v>
      </c>
      <c r="J22">
        <v>671</v>
      </c>
      <c r="K22" s="51">
        <v>98</v>
      </c>
      <c r="L22">
        <v>671000</v>
      </c>
    </row>
    <row r="23" spans="3:15" x14ac:dyDescent="0.3">
      <c r="C23" s="144">
        <v>44659</v>
      </c>
      <c r="D23" s="145">
        <v>20</v>
      </c>
      <c r="E23" s="145">
        <v>565</v>
      </c>
      <c r="F23" s="145">
        <f t="shared" ref="F23:F29" si="0">D23*E23</f>
        <v>11300</v>
      </c>
      <c r="I23" s="7">
        <v>45519</v>
      </c>
      <c r="J23">
        <v>675</v>
      </c>
      <c r="K23">
        <v>38</v>
      </c>
      <c r="L23">
        <v>675000</v>
      </c>
    </row>
    <row r="24" spans="3:15" x14ac:dyDescent="0.3">
      <c r="C24" s="144">
        <v>44686</v>
      </c>
      <c r="D24" s="145">
        <v>10</v>
      </c>
      <c r="E24" s="145">
        <v>534</v>
      </c>
      <c r="F24" s="145">
        <f t="shared" si="0"/>
        <v>5340</v>
      </c>
      <c r="I24" s="7">
        <v>45521</v>
      </c>
      <c r="J24">
        <v>679</v>
      </c>
      <c r="K24">
        <v>0</v>
      </c>
      <c r="L24">
        <v>679000</v>
      </c>
    </row>
    <row r="25" spans="3:15" x14ac:dyDescent="0.3">
      <c r="C25" s="144">
        <v>44690</v>
      </c>
      <c r="D25" s="145">
        <v>9</v>
      </c>
      <c r="E25" s="145">
        <v>509</v>
      </c>
      <c r="F25" s="145">
        <f t="shared" si="0"/>
        <v>4581</v>
      </c>
      <c r="I25" s="7">
        <v>45523</v>
      </c>
      <c r="J25">
        <v>683</v>
      </c>
      <c r="K25" s="51">
        <v>73</v>
      </c>
      <c r="L25">
        <v>683000</v>
      </c>
    </row>
    <row r="26" spans="3:15" x14ac:dyDescent="0.3">
      <c r="C26" s="147">
        <v>44697</v>
      </c>
      <c r="D26" s="145">
        <v>1</v>
      </c>
      <c r="E26" s="145">
        <v>498</v>
      </c>
      <c r="F26" s="145">
        <f t="shared" si="0"/>
        <v>498</v>
      </c>
      <c r="I26" s="7">
        <v>45525</v>
      </c>
      <c r="J26">
        <v>687</v>
      </c>
      <c r="K26" s="51">
        <v>0</v>
      </c>
      <c r="L26">
        <v>687000</v>
      </c>
    </row>
    <row r="27" spans="3:15" x14ac:dyDescent="0.3">
      <c r="C27" s="147">
        <v>44697</v>
      </c>
      <c r="D27" s="145">
        <v>1</v>
      </c>
      <c r="E27" s="145">
        <v>497</v>
      </c>
      <c r="F27" s="145">
        <f t="shared" si="0"/>
        <v>497</v>
      </c>
      <c r="I27" s="7">
        <v>45527</v>
      </c>
      <c r="J27">
        <v>690</v>
      </c>
      <c r="K27" s="51">
        <v>8</v>
      </c>
      <c r="L27">
        <v>690000</v>
      </c>
    </row>
    <row r="28" spans="3:15" x14ac:dyDescent="0.3">
      <c r="C28" s="147">
        <v>44697</v>
      </c>
      <c r="D28" s="145">
        <v>1</v>
      </c>
      <c r="E28" s="145">
        <v>496</v>
      </c>
      <c r="F28" s="145">
        <f t="shared" si="0"/>
        <v>496</v>
      </c>
      <c r="I28" s="7">
        <v>45529</v>
      </c>
      <c r="J28">
        <v>694</v>
      </c>
      <c r="K28" s="51">
        <v>1</v>
      </c>
      <c r="L28">
        <v>694000</v>
      </c>
    </row>
    <row r="29" spans="3:15" x14ac:dyDescent="0.3">
      <c r="C29" s="144">
        <v>44720</v>
      </c>
      <c r="D29" s="145">
        <v>1</v>
      </c>
      <c r="E29" s="145">
        <v>493</v>
      </c>
      <c r="F29" s="145">
        <f t="shared" si="0"/>
        <v>493</v>
      </c>
      <c r="I29" s="7">
        <v>45531</v>
      </c>
      <c r="J29">
        <v>698</v>
      </c>
      <c r="K29" s="51">
        <v>9</v>
      </c>
      <c r="L29">
        <v>698000</v>
      </c>
    </row>
    <row r="30" spans="3:15" x14ac:dyDescent="0.3">
      <c r="C30" s="24"/>
      <c r="D30" s="24">
        <v>43</v>
      </c>
      <c r="E30" s="24"/>
      <c r="F30" s="146">
        <f>SUM(F23:F29)</f>
        <v>23205</v>
      </c>
      <c r="I30" s="7">
        <v>45533</v>
      </c>
      <c r="J30">
        <v>702</v>
      </c>
      <c r="K30" s="51">
        <v>3</v>
      </c>
      <c r="L30">
        <v>702000</v>
      </c>
    </row>
    <row r="31" spans="3:15" x14ac:dyDescent="0.3">
      <c r="C31" s="24" t="s">
        <v>910</v>
      </c>
      <c r="D31" s="24" t="s">
        <v>399</v>
      </c>
      <c r="E31" s="24" t="s">
        <v>909</v>
      </c>
      <c r="F31" s="145"/>
      <c r="I31" s="7">
        <v>45535</v>
      </c>
    </row>
    <row r="32" spans="3:15" x14ac:dyDescent="0.3">
      <c r="C32" s="144">
        <v>44748</v>
      </c>
      <c r="D32" s="24">
        <v>43</v>
      </c>
      <c r="E32" s="24">
        <v>540</v>
      </c>
      <c r="F32" s="146">
        <f>D32*E32</f>
        <v>23220</v>
      </c>
      <c r="I32" s="7">
        <v>45506</v>
      </c>
    </row>
    <row r="33" spans="3:6" x14ac:dyDescent="0.3">
      <c r="C33" s="24"/>
      <c r="D33" s="24"/>
      <c r="E33" s="24"/>
      <c r="F33" s="24"/>
    </row>
    <row r="34" spans="3:6" x14ac:dyDescent="0.3">
      <c r="C34" s="24"/>
      <c r="D34" s="24"/>
      <c r="E34" s="24"/>
      <c r="F34" s="24"/>
    </row>
    <row r="35" spans="3:6" x14ac:dyDescent="0.3">
      <c r="C35" s="239" t="s">
        <v>498</v>
      </c>
      <c r="D35" s="239"/>
      <c r="E35" s="239"/>
      <c r="F35" s="24"/>
    </row>
    <row r="36" spans="3:6" x14ac:dyDescent="0.3">
      <c r="C36" s="25">
        <v>44722</v>
      </c>
      <c r="D36" s="24">
        <v>1</v>
      </c>
      <c r="E36" s="24">
        <v>117</v>
      </c>
      <c r="F36" s="24">
        <f>D36*E36</f>
        <v>117</v>
      </c>
    </row>
    <row r="37" spans="3:6" x14ac:dyDescent="0.3">
      <c r="C37" s="25">
        <v>44725</v>
      </c>
      <c r="D37" s="24">
        <v>4</v>
      </c>
      <c r="E37" s="24">
        <v>115</v>
      </c>
      <c r="F37" s="24">
        <f>D37*E37</f>
        <v>460</v>
      </c>
    </row>
    <row r="38" spans="3:6" x14ac:dyDescent="0.3">
      <c r="C38" s="25">
        <v>44728</v>
      </c>
      <c r="D38" s="24">
        <v>10</v>
      </c>
      <c r="E38" s="24">
        <v>114</v>
      </c>
      <c r="F38" s="24">
        <f>D38*E38</f>
        <v>1140</v>
      </c>
    </row>
    <row r="39" spans="3:6" x14ac:dyDescent="0.3">
      <c r="C39" s="25">
        <v>44746</v>
      </c>
      <c r="D39" s="24">
        <v>10</v>
      </c>
      <c r="E39" s="24">
        <v>125.85</v>
      </c>
      <c r="F39" s="24">
        <f>D39*E39</f>
        <v>1258.5</v>
      </c>
    </row>
    <row r="40" spans="3:6" x14ac:dyDescent="0.3">
      <c r="C40" s="24"/>
      <c r="D40" s="24">
        <v>25</v>
      </c>
      <c r="E40" s="24"/>
      <c r="F40" s="146">
        <f>SUM(F36:F39)</f>
        <v>2975.5</v>
      </c>
    </row>
    <row r="41" spans="3:6" x14ac:dyDescent="0.3">
      <c r="C41" s="24" t="s">
        <v>910</v>
      </c>
      <c r="D41" s="24" t="s">
        <v>399</v>
      </c>
      <c r="E41" s="24" t="s">
        <v>909</v>
      </c>
      <c r="F41" s="24"/>
    </row>
    <row r="42" spans="3:6" x14ac:dyDescent="0.3">
      <c r="C42" s="25">
        <v>44789</v>
      </c>
      <c r="D42" s="24">
        <v>25</v>
      </c>
      <c r="E42" s="24">
        <v>136.5</v>
      </c>
      <c r="F42" s="146">
        <f>D42*E42</f>
        <v>3412.5</v>
      </c>
    </row>
    <row r="43" spans="3:6" x14ac:dyDescent="0.3">
      <c r="C43" s="24"/>
      <c r="D43" s="24"/>
      <c r="E43" s="24"/>
      <c r="F43" s="24"/>
    </row>
    <row r="44" spans="3:6" x14ac:dyDescent="0.3">
      <c r="C44" s="24"/>
      <c r="D44" s="24"/>
      <c r="E44" s="24"/>
      <c r="F44" s="24"/>
    </row>
    <row r="45" spans="3:6" x14ac:dyDescent="0.3">
      <c r="C45" s="239" t="s">
        <v>424</v>
      </c>
      <c r="D45" s="239"/>
      <c r="E45" s="239"/>
      <c r="F45" s="24"/>
    </row>
    <row r="46" spans="3:6" x14ac:dyDescent="0.3">
      <c r="C46" s="145" t="s">
        <v>353</v>
      </c>
      <c r="D46" s="145" t="s">
        <v>399</v>
      </c>
      <c r="E46" s="145" t="s">
        <v>354</v>
      </c>
      <c r="F46" s="145"/>
    </row>
    <row r="47" spans="3:6" x14ac:dyDescent="0.3">
      <c r="C47" s="144">
        <v>44335</v>
      </c>
      <c r="D47" s="145">
        <v>10</v>
      </c>
      <c r="E47" s="145">
        <v>395</v>
      </c>
      <c r="F47" s="145">
        <f>D47*E47</f>
        <v>3950</v>
      </c>
    </row>
    <row r="48" spans="3:6" x14ac:dyDescent="0.3">
      <c r="C48" s="144">
        <v>44342</v>
      </c>
      <c r="D48" s="145">
        <v>10</v>
      </c>
      <c r="E48" s="145">
        <v>366</v>
      </c>
      <c r="F48" s="145">
        <f>D48*E48</f>
        <v>3660</v>
      </c>
    </row>
    <row r="49" spans="3:6" x14ac:dyDescent="0.3">
      <c r="C49" s="144">
        <v>44344</v>
      </c>
      <c r="D49" s="145">
        <v>10</v>
      </c>
      <c r="E49" s="145">
        <v>339</v>
      </c>
      <c r="F49" s="145">
        <f>D49*E49</f>
        <v>3390</v>
      </c>
    </row>
    <row r="50" spans="3:6" x14ac:dyDescent="0.3">
      <c r="C50" s="144">
        <v>44332</v>
      </c>
      <c r="D50" s="145">
        <v>4</v>
      </c>
      <c r="E50" s="145">
        <v>327</v>
      </c>
      <c r="F50" s="145">
        <f>D50*E50</f>
        <v>1308</v>
      </c>
    </row>
    <row r="51" spans="3:6" x14ac:dyDescent="0.3">
      <c r="C51" s="24"/>
      <c r="D51" s="24">
        <v>34</v>
      </c>
      <c r="E51" s="24"/>
      <c r="F51" s="146">
        <f>SUM(F47:F50)</f>
        <v>12308</v>
      </c>
    </row>
    <row r="52" spans="3:6" x14ac:dyDescent="0.3">
      <c r="C52" s="24" t="s">
        <v>910</v>
      </c>
      <c r="D52" s="24" t="s">
        <v>399</v>
      </c>
      <c r="E52" s="24" t="s">
        <v>909</v>
      </c>
      <c r="F52" s="24"/>
    </row>
    <row r="53" spans="3:6" x14ac:dyDescent="0.3">
      <c r="C53" s="25">
        <v>44748</v>
      </c>
      <c r="D53" s="24">
        <v>34</v>
      </c>
      <c r="E53" s="24">
        <v>370.3</v>
      </c>
      <c r="F53" s="146">
        <f>D53*E53</f>
        <v>12590.2</v>
      </c>
    </row>
    <row r="54" spans="3:6" x14ac:dyDescent="0.3">
      <c r="C54" s="24"/>
      <c r="D54" s="24"/>
      <c r="E54" s="24"/>
      <c r="F54" s="24"/>
    </row>
    <row r="55" spans="3:6" x14ac:dyDescent="0.3">
      <c r="C55" s="24"/>
      <c r="D55" s="24"/>
      <c r="E55" s="24"/>
      <c r="F55" s="24"/>
    </row>
    <row r="56" spans="3:6" x14ac:dyDescent="0.3">
      <c r="C56" s="239" t="s">
        <v>539</v>
      </c>
      <c r="D56" s="239"/>
      <c r="E56" s="239"/>
      <c r="F56" s="24"/>
    </row>
    <row r="57" spans="3:6" x14ac:dyDescent="0.3">
      <c r="C57" s="24" t="s">
        <v>353</v>
      </c>
      <c r="D57" s="24" t="s">
        <v>399</v>
      </c>
      <c r="E57" s="24" t="s">
        <v>354</v>
      </c>
      <c r="F57" s="24"/>
    </row>
    <row r="58" spans="3:6" x14ac:dyDescent="0.3">
      <c r="C58" s="144">
        <v>44690</v>
      </c>
      <c r="D58" s="145">
        <v>1</v>
      </c>
      <c r="E58" s="145">
        <v>759</v>
      </c>
      <c r="F58" s="145">
        <f>D58*E58</f>
        <v>759</v>
      </c>
    </row>
    <row r="59" spans="3:6" x14ac:dyDescent="0.3">
      <c r="C59" s="144">
        <v>44693</v>
      </c>
      <c r="D59" s="145">
        <v>1</v>
      </c>
      <c r="E59" s="145">
        <v>729</v>
      </c>
      <c r="F59" s="145">
        <f>D59*E59</f>
        <v>729</v>
      </c>
    </row>
    <row r="60" spans="3:6" x14ac:dyDescent="0.3">
      <c r="C60" s="144">
        <v>44698</v>
      </c>
      <c r="D60" s="145">
        <v>1</v>
      </c>
      <c r="E60" s="145">
        <v>723</v>
      </c>
      <c r="F60" s="145">
        <f>D60*E60</f>
        <v>723</v>
      </c>
    </row>
    <row r="61" spans="3:6" x14ac:dyDescent="0.3">
      <c r="C61" s="144">
        <v>44698</v>
      </c>
      <c r="D61" s="145">
        <v>1</v>
      </c>
      <c r="E61" s="145">
        <v>724</v>
      </c>
      <c r="F61" s="145">
        <f>D61*E61</f>
        <v>724</v>
      </c>
    </row>
    <row r="62" spans="3:6" x14ac:dyDescent="0.3">
      <c r="C62" s="24"/>
      <c r="D62" s="24">
        <v>4</v>
      </c>
      <c r="E62" s="24"/>
      <c r="F62" s="146">
        <f>SUM(F58:F61)</f>
        <v>2935</v>
      </c>
    </row>
    <row r="63" spans="3:6" x14ac:dyDescent="0.3">
      <c r="C63" s="24" t="s">
        <v>910</v>
      </c>
      <c r="D63" s="24" t="s">
        <v>399</v>
      </c>
      <c r="E63" s="24" t="s">
        <v>909</v>
      </c>
      <c r="F63" s="24"/>
    </row>
    <row r="64" spans="3:6" x14ac:dyDescent="0.3">
      <c r="C64" s="25">
        <v>44748</v>
      </c>
      <c r="D64" s="24">
        <v>4</v>
      </c>
      <c r="E64" s="145">
        <v>739.9</v>
      </c>
      <c r="F64" s="146">
        <f>D64*E64</f>
        <v>2959.6</v>
      </c>
    </row>
    <row r="65" spans="3:6" x14ac:dyDescent="0.3">
      <c r="C65" s="24"/>
      <c r="D65" s="24"/>
      <c r="E65" s="24"/>
      <c r="F65" s="24"/>
    </row>
    <row r="66" spans="3:6" x14ac:dyDescent="0.3">
      <c r="C66" s="24"/>
      <c r="D66" s="24"/>
      <c r="E66" s="24"/>
      <c r="F66" s="24"/>
    </row>
    <row r="67" spans="3:6" x14ac:dyDescent="0.3">
      <c r="C67" s="239" t="s">
        <v>500</v>
      </c>
      <c r="D67" s="239"/>
      <c r="E67" s="239"/>
      <c r="F67" s="24"/>
    </row>
    <row r="68" spans="3:6" x14ac:dyDescent="0.3">
      <c r="C68" s="24" t="s">
        <v>353</v>
      </c>
      <c r="D68" s="24" t="s">
        <v>399</v>
      </c>
      <c r="E68" s="24" t="s">
        <v>354</v>
      </c>
      <c r="F68" s="24"/>
    </row>
    <row r="69" spans="3:6" x14ac:dyDescent="0.3">
      <c r="C69" s="144">
        <v>43174</v>
      </c>
      <c r="D69" s="145">
        <v>6</v>
      </c>
      <c r="E69" s="145">
        <v>454</v>
      </c>
      <c r="F69" s="146">
        <f>D69*E69</f>
        <v>2724</v>
      </c>
    </row>
    <row r="70" spans="3:6" x14ac:dyDescent="0.3">
      <c r="C70" s="24" t="s">
        <v>910</v>
      </c>
      <c r="D70" s="24" t="s">
        <v>399</v>
      </c>
      <c r="E70" s="24" t="s">
        <v>909</v>
      </c>
      <c r="F70" s="24"/>
    </row>
    <row r="71" spans="3:6" x14ac:dyDescent="0.3">
      <c r="C71" s="144">
        <v>44747</v>
      </c>
      <c r="D71" s="145">
        <v>6</v>
      </c>
      <c r="E71" s="145">
        <v>190</v>
      </c>
      <c r="F71" s="146">
        <f>D71*E71</f>
        <v>1140</v>
      </c>
    </row>
    <row r="72" spans="3:6" x14ac:dyDescent="0.3">
      <c r="C72" s="24"/>
      <c r="D72" s="24"/>
      <c r="E72" s="24"/>
      <c r="F72" s="24"/>
    </row>
    <row r="73" spans="3:6" x14ac:dyDescent="0.3">
      <c r="C73" s="24"/>
      <c r="D73" s="24"/>
      <c r="E73" s="24"/>
      <c r="F73" s="24"/>
    </row>
    <row r="74" spans="3:6" x14ac:dyDescent="0.3">
      <c r="C74" s="239" t="s">
        <v>912</v>
      </c>
      <c r="D74" s="239"/>
      <c r="E74" s="239"/>
      <c r="F74" s="24"/>
    </row>
    <row r="75" spans="3:6" x14ac:dyDescent="0.3">
      <c r="C75" s="24" t="s">
        <v>353</v>
      </c>
      <c r="D75" s="24" t="s">
        <v>399</v>
      </c>
      <c r="E75" s="24" t="s">
        <v>354</v>
      </c>
      <c r="F75" s="24"/>
    </row>
    <row r="76" spans="3:6" x14ac:dyDescent="0.3">
      <c r="C76" s="144">
        <v>44155</v>
      </c>
      <c r="D76" s="145">
        <v>60</v>
      </c>
      <c r="E76" s="145">
        <v>1500</v>
      </c>
      <c r="F76" s="146">
        <v>90000</v>
      </c>
    </row>
    <row r="77" spans="3:6" x14ac:dyDescent="0.3">
      <c r="C77" s="24" t="s">
        <v>910</v>
      </c>
      <c r="D77" s="24" t="s">
        <v>399</v>
      </c>
      <c r="E77" s="24" t="s">
        <v>909</v>
      </c>
      <c r="F77" s="24"/>
    </row>
    <row r="78" spans="3:6" x14ac:dyDescent="0.3">
      <c r="C78" s="144">
        <v>44763</v>
      </c>
      <c r="D78" s="145">
        <v>60</v>
      </c>
      <c r="E78" s="145">
        <v>2235</v>
      </c>
      <c r="F78" s="146">
        <f>D78*E78</f>
        <v>134100</v>
      </c>
    </row>
    <row r="79" spans="3:6" x14ac:dyDescent="0.3">
      <c r="C79" s="24"/>
      <c r="D79" s="24"/>
      <c r="E79" s="24"/>
      <c r="F79" s="24"/>
    </row>
    <row r="80" spans="3:6" x14ac:dyDescent="0.3">
      <c r="C80" s="239" t="s">
        <v>913</v>
      </c>
      <c r="D80" s="239"/>
      <c r="E80" s="239"/>
      <c r="F80" s="24"/>
    </row>
    <row r="81" spans="3:6" x14ac:dyDescent="0.3">
      <c r="C81" s="24" t="s">
        <v>353</v>
      </c>
      <c r="D81" s="24" t="s">
        <v>399</v>
      </c>
      <c r="E81" s="24" t="s">
        <v>354</v>
      </c>
      <c r="F81" s="24"/>
    </row>
    <row r="82" spans="3:6" x14ac:dyDescent="0.3">
      <c r="C82" s="25">
        <v>42923</v>
      </c>
      <c r="D82" s="24">
        <v>10</v>
      </c>
      <c r="E82" s="24">
        <v>515</v>
      </c>
      <c r="F82" s="24">
        <f>D82*E82</f>
        <v>5150</v>
      </c>
    </row>
    <row r="83" spans="3:6" x14ac:dyDescent="0.3">
      <c r="C83" s="25">
        <v>43445</v>
      </c>
      <c r="D83" s="24">
        <v>20</v>
      </c>
      <c r="E83" s="24">
        <v>225</v>
      </c>
      <c r="F83" s="24">
        <f>D83*E83</f>
        <v>4500</v>
      </c>
    </row>
    <row r="84" spans="3:6" x14ac:dyDescent="0.3">
      <c r="C84" s="24"/>
      <c r="D84" s="24">
        <v>30</v>
      </c>
      <c r="E84" s="24"/>
      <c r="F84" s="146">
        <f>SUM(F82:F83)</f>
        <v>9650</v>
      </c>
    </row>
    <row r="85" spans="3:6" x14ac:dyDescent="0.3">
      <c r="C85" s="24" t="s">
        <v>910</v>
      </c>
      <c r="D85" s="24" t="s">
        <v>399</v>
      </c>
      <c r="E85" s="24" t="s">
        <v>909</v>
      </c>
      <c r="F85" s="24"/>
    </row>
    <row r="86" spans="3:6" x14ac:dyDescent="0.3">
      <c r="C86" s="25">
        <v>44734</v>
      </c>
      <c r="D86" s="24">
        <v>30</v>
      </c>
      <c r="E86" s="24">
        <v>224</v>
      </c>
      <c r="F86" s="146">
        <f>D86*E86</f>
        <v>6720</v>
      </c>
    </row>
  </sheetData>
  <mergeCells count="8">
    <mergeCell ref="C74:E74"/>
    <mergeCell ref="C80:E80"/>
    <mergeCell ref="C11:E11"/>
    <mergeCell ref="C21:E21"/>
    <mergeCell ref="C35:E35"/>
    <mergeCell ref="C45:E45"/>
    <mergeCell ref="C56:E56"/>
    <mergeCell ref="C67:E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MF_Summary</vt:lpstr>
      <vt:lpstr>Balanced</vt:lpstr>
      <vt:lpstr>Midcap</vt:lpstr>
      <vt:lpstr>Largecap</vt:lpstr>
      <vt:lpstr>Diversified</vt:lpstr>
      <vt:lpstr>2019-20</vt:lpstr>
      <vt:lpstr>Networth</vt:lpstr>
      <vt:lpstr>PF-VPF</vt:lpstr>
      <vt:lpstr>car</vt:lpstr>
      <vt:lpstr>Shares</vt:lpstr>
      <vt:lpstr>Dividend</vt:lpstr>
      <vt:lpstr>Pharma</vt:lpstr>
      <vt:lpstr>usPw</vt:lpstr>
      <vt:lpstr>MF_usPw1</vt:lpstr>
      <vt:lpstr>Others</vt:lpstr>
      <vt:lpstr>Sheet2</vt:lpstr>
      <vt:lpstr>Sheet1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Niranjana Datta K A</dc:creator>
  <cp:lastModifiedBy>K A, Niranjana Datta</cp:lastModifiedBy>
  <dcterms:created xsi:type="dcterms:W3CDTF">2017-10-03T14:07:02Z</dcterms:created>
  <dcterms:modified xsi:type="dcterms:W3CDTF">2026-05-26T11:02:44Z</dcterms:modified>
</cp:coreProperties>
</file>