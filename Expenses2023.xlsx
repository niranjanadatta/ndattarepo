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ir\"/>
    </mc:Choice>
  </mc:AlternateContent>
  <xr:revisionPtr revIDLastSave="0" documentId="13_ncr:1_{28D75D17-7798-419C-BCBF-B9D2D9584E4E}" xr6:coauthVersionLast="47" xr6:coauthVersionMax="47" xr10:uidLastSave="{00000000-0000-0000-0000-000000000000}"/>
  <bookViews>
    <workbookView xWindow="28680" yWindow="-120" windowWidth="25440" windowHeight="15270" firstSheet="4" activeTab="6" xr2:uid="{00000000-000D-0000-FFFF-FFFF00000000}"/>
  </bookViews>
  <sheets>
    <sheet name="2021" sheetId="11" r:id="rId1"/>
    <sheet name="2022" sheetId="12" r:id="rId2"/>
    <sheet name="trip" sheetId="13" r:id="rId3"/>
    <sheet name="2023" sheetId="14" r:id="rId4"/>
    <sheet name="2024" sheetId="15" r:id="rId5"/>
    <sheet name="2025" sheetId="16" r:id="rId6"/>
    <sheet name="2026" sheetId="17" r:id="rId7"/>
  </sheets>
  <definedNames>
    <definedName name="_xlnm._FilterDatabase" localSheetId="0" hidden="1">'2021'!$A$1:$AF$231</definedName>
    <definedName name="_xlnm._FilterDatabase" localSheetId="1" hidden="1">'2022'!$A$1:$AF$242</definedName>
    <definedName name="_xlnm._FilterDatabase" localSheetId="3" hidden="1">'2023'!$A$1:$AF$244</definedName>
    <definedName name="_xlnm._FilterDatabase" localSheetId="4" hidden="1">'2024'!$A$1:$AF$243</definedName>
    <definedName name="_xlnm._FilterDatabase" localSheetId="5" hidden="1">'2025'!$A$1:$AF$262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19" i="17" l="1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97" i="17"/>
  <c r="AH96" i="17"/>
  <c r="Q94" i="17"/>
  <c r="AJ94" i="17" s="1"/>
  <c r="AK78" i="17"/>
  <c r="AK76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72" i="17"/>
  <c r="AH71" i="17"/>
  <c r="AH60" i="17"/>
  <c r="AH61" i="17"/>
  <c r="AH62" i="17"/>
  <c r="AH63" i="17"/>
  <c r="AH64" i="17"/>
  <c r="AH65" i="17"/>
  <c r="AH66" i="17"/>
  <c r="AH67" i="17"/>
  <c r="AH68" i="17"/>
  <c r="Q69" i="17"/>
  <c r="AH57" i="17"/>
  <c r="AH58" i="17"/>
  <c r="AH59" i="17"/>
  <c r="AJ119" i="17" l="1"/>
  <c r="S69" i="17"/>
  <c r="R69" i="17"/>
  <c r="AH48" i="17"/>
  <c r="AH49" i="17"/>
  <c r="AH50" i="17"/>
  <c r="AH51" i="17"/>
  <c r="AH52" i="17"/>
  <c r="AH53" i="17"/>
  <c r="AH54" i="17"/>
  <c r="AH55" i="17"/>
  <c r="AH56" i="17"/>
  <c r="AH47" i="17"/>
  <c r="AH46" i="17"/>
  <c r="AH29" i="17"/>
  <c r="AH27" i="17"/>
  <c r="AH28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26" i="17"/>
  <c r="AH25" i="17"/>
  <c r="AH24" i="17"/>
  <c r="Q44" i="17"/>
  <c r="AH8" i="17"/>
  <c r="AH5" i="17"/>
  <c r="AH19" i="17" l="1"/>
  <c r="AH7" i="17"/>
  <c r="AK5" i="17"/>
  <c r="AH6" i="17"/>
  <c r="AH9" i="17"/>
  <c r="AH10" i="17"/>
  <c r="AH11" i="17"/>
  <c r="AH12" i="17"/>
  <c r="AH13" i="17"/>
  <c r="AH14" i="17"/>
  <c r="AH15" i="17"/>
  <c r="AH16" i="17"/>
  <c r="AH17" i="17"/>
  <c r="AH18" i="17"/>
  <c r="AH20" i="17"/>
  <c r="AH4" i="17"/>
  <c r="AH3" i="17"/>
  <c r="AH2" i="17"/>
  <c r="Q22" i="17"/>
  <c r="AJ22" i="17" s="1"/>
  <c r="Q262" i="16"/>
  <c r="AH244" i="16"/>
  <c r="AH245" i="16"/>
  <c r="AH246" i="16"/>
  <c r="AH247" i="16"/>
  <c r="AH248" i="16"/>
  <c r="AH249" i="16"/>
  <c r="AH250" i="16"/>
  <c r="AH251" i="16"/>
  <c r="AH252" i="16"/>
  <c r="AH253" i="16"/>
  <c r="AH254" i="16"/>
  <c r="AH255" i="16"/>
  <c r="AH256" i="16"/>
  <c r="AH257" i="16"/>
  <c r="AH258" i="16"/>
  <c r="AH259" i="16"/>
  <c r="AH260" i="16"/>
  <c r="AH261" i="16"/>
  <c r="AH243" i="16"/>
  <c r="AH242" i="16"/>
  <c r="Q240" i="16"/>
  <c r="AH222" i="16"/>
  <c r="AH223" i="16"/>
  <c r="AH224" i="16"/>
  <c r="AH225" i="16"/>
  <c r="AH226" i="16"/>
  <c r="AH227" i="16"/>
  <c r="AH228" i="16"/>
  <c r="AH229" i="16"/>
  <c r="AH230" i="16"/>
  <c r="AH231" i="16"/>
  <c r="AH232" i="16"/>
  <c r="AH233" i="16"/>
  <c r="AH234" i="16"/>
  <c r="AH235" i="16"/>
  <c r="AH236" i="16"/>
  <c r="AH237" i="16"/>
  <c r="AH238" i="16"/>
  <c r="AH239" i="16"/>
  <c r="AH221" i="16"/>
  <c r="AH220" i="16"/>
  <c r="AQ204" i="16"/>
  <c r="Q218" i="16"/>
  <c r="Q196" i="16"/>
  <c r="Q150" i="16"/>
  <c r="Q128" i="16"/>
  <c r="Q106" i="16"/>
  <c r="Q84" i="16"/>
  <c r="Q62" i="16"/>
  <c r="Q44" i="16"/>
  <c r="Q21" i="16"/>
  <c r="Q172" i="16"/>
  <c r="AH200" i="16"/>
  <c r="AH201" i="16"/>
  <c r="AH202" i="16"/>
  <c r="AH203" i="16"/>
  <c r="AH204" i="16"/>
  <c r="AH205" i="16"/>
  <c r="AH206" i="16"/>
  <c r="AH207" i="16"/>
  <c r="AH208" i="16"/>
  <c r="AH209" i="16"/>
  <c r="AH210" i="16"/>
  <c r="AH211" i="16"/>
  <c r="AH212" i="16"/>
  <c r="AH213" i="16"/>
  <c r="AH214" i="16"/>
  <c r="AH215" i="16"/>
  <c r="AH216" i="16"/>
  <c r="AH217" i="16"/>
  <c r="AH199" i="16"/>
  <c r="AH198" i="16"/>
  <c r="AN183" i="16"/>
  <c r="AQ178" i="16"/>
  <c r="AP178" i="16"/>
  <c r="AH189" i="16"/>
  <c r="AH190" i="16"/>
  <c r="AH191" i="16"/>
  <c r="AH192" i="16"/>
  <c r="AH193" i="16"/>
  <c r="AH194" i="16"/>
  <c r="AH195" i="16"/>
  <c r="AL187" i="16"/>
  <c r="AL188" i="16" s="1"/>
  <c r="AH176" i="16"/>
  <c r="AH177" i="16"/>
  <c r="AH178" i="16"/>
  <c r="AH179" i="16"/>
  <c r="AH180" i="16"/>
  <c r="AH181" i="16"/>
  <c r="AH182" i="16"/>
  <c r="AH183" i="16"/>
  <c r="AH184" i="16"/>
  <c r="AH185" i="16"/>
  <c r="AH186" i="16"/>
  <c r="AH187" i="16"/>
  <c r="AH188" i="16"/>
  <c r="AH175" i="16"/>
  <c r="AH174" i="16"/>
  <c r="AH154" i="16"/>
  <c r="AH155" i="16"/>
  <c r="AH156" i="16"/>
  <c r="AH157" i="16"/>
  <c r="AH158" i="16"/>
  <c r="AH159" i="16"/>
  <c r="AH160" i="16"/>
  <c r="AH161" i="16"/>
  <c r="AH162" i="16"/>
  <c r="AH163" i="16"/>
  <c r="AH164" i="16"/>
  <c r="AH165" i="16"/>
  <c r="AH166" i="16"/>
  <c r="AH167" i="16"/>
  <c r="AH168" i="16"/>
  <c r="AH169" i="16"/>
  <c r="AH170" i="16"/>
  <c r="AH171" i="16"/>
  <c r="AH153" i="16"/>
  <c r="AH152" i="16"/>
  <c r="AH132" i="16"/>
  <c r="AH133" i="16"/>
  <c r="AH134" i="16"/>
  <c r="AH135" i="16"/>
  <c r="AH136" i="16"/>
  <c r="AH137" i="16"/>
  <c r="AH138" i="16"/>
  <c r="AH139" i="16"/>
  <c r="AH140" i="16"/>
  <c r="AH141" i="16"/>
  <c r="AH142" i="16"/>
  <c r="AH143" i="16"/>
  <c r="AH144" i="16"/>
  <c r="AH145" i="16"/>
  <c r="AH146" i="16"/>
  <c r="AH147" i="16"/>
  <c r="AH148" i="16"/>
  <c r="AH149" i="16"/>
  <c r="AH131" i="16"/>
  <c r="AH130" i="16"/>
  <c r="AH110" i="16"/>
  <c r="AH111" i="16"/>
  <c r="AH112" i="16"/>
  <c r="AH113" i="16"/>
  <c r="AH114" i="16"/>
  <c r="AH115" i="16"/>
  <c r="AH116" i="16"/>
  <c r="AH117" i="16"/>
  <c r="AH118" i="16"/>
  <c r="AH119" i="16"/>
  <c r="AH120" i="16"/>
  <c r="AH121" i="16"/>
  <c r="AH122" i="16"/>
  <c r="AH123" i="16"/>
  <c r="AH124" i="16"/>
  <c r="AH125" i="16"/>
  <c r="AH126" i="16"/>
  <c r="AH127" i="16"/>
  <c r="AH109" i="16"/>
  <c r="AH108" i="16"/>
  <c r="AH103" i="16"/>
  <c r="AH104" i="16"/>
  <c r="AH105" i="16"/>
  <c r="AH89" i="16"/>
  <c r="AH90" i="16"/>
  <c r="AH91" i="16"/>
  <c r="AH92" i="16"/>
  <c r="AH93" i="16"/>
  <c r="AH94" i="16"/>
  <c r="AH95" i="16"/>
  <c r="AH96" i="16"/>
  <c r="AH97" i="16"/>
  <c r="AH98" i="16"/>
  <c r="AH99" i="16"/>
  <c r="AH100" i="16"/>
  <c r="AH101" i="16"/>
  <c r="AH102" i="16"/>
  <c r="AH88" i="16"/>
  <c r="AH87" i="16"/>
  <c r="AH86" i="16"/>
  <c r="AJ44" i="17" l="1"/>
  <c r="AJ69" i="17" s="1"/>
  <c r="AH76" i="16"/>
  <c r="AH77" i="16"/>
  <c r="AH78" i="16"/>
  <c r="AH79" i="16"/>
  <c r="AH80" i="16"/>
  <c r="AH81" i="16"/>
  <c r="AH82" i="16"/>
  <c r="AH83" i="16"/>
  <c r="AH75" i="16"/>
  <c r="AH66" i="16" l="1"/>
  <c r="AH67" i="16"/>
  <c r="AH68" i="16"/>
  <c r="AH69" i="16"/>
  <c r="AH70" i="16"/>
  <c r="AH71" i="16"/>
  <c r="AH72" i="16"/>
  <c r="AH73" i="16"/>
  <c r="AH74" i="16"/>
  <c r="AH65" i="16"/>
  <c r="AH64" i="16"/>
  <c r="AH58" i="16"/>
  <c r="AH47" i="16"/>
  <c r="AH48" i="16"/>
  <c r="AH49" i="16"/>
  <c r="AH50" i="16"/>
  <c r="AH51" i="16"/>
  <c r="AH52" i="16"/>
  <c r="AH53" i="16"/>
  <c r="AH54" i="16"/>
  <c r="AH55" i="16"/>
  <c r="AH56" i="16"/>
  <c r="AH57" i="16"/>
  <c r="AH59" i="16"/>
  <c r="AH60" i="16"/>
  <c r="AH61" i="16"/>
  <c r="AH46" i="16"/>
  <c r="AH37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8" i="16"/>
  <c r="AH39" i="16"/>
  <c r="AH40" i="16"/>
  <c r="AH41" i="16"/>
  <c r="AH43" i="16"/>
  <c r="AH42" i="16"/>
  <c r="AH24" i="16"/>
  <c r="AH23" i="16"/>
  <c r="AH4" i="16"/>
  <c r="AH5" i="16"/>
  <c r="AH6" i="16"/>
  <c r="AH7" i="16"/>
  <c r="AH8" i="16"/>
  <c r="AH9" i="16"/>
  <c r="AH10" i="16"/>
  <c r="AH11" i="16"/>
  <c r="AH12" i="16"/>
  <c r="AH13" i="16"/>
  <c r="AH14" i="16"/>
  <c r="AH16" i="16"/>
  <c r="AH17" i="16"/>
  <c r="AH18" i="16"/>
  <c r="AH20" i="16"/>
  <c r="AH19" i="16"/>
  <c r="AH3" i="16"/>
  <c r="AH2" i="16"/>
  <c r="AH242" i="15"/>
  <c r="AH226" i="15"/>
  <c r="AH227" i="15"/>
  <c r="AH228" i="15"/>
  <c r="AH229" i="15"/>
  <c r="AH230" i="15"/>
  <c r="AH231" i="15"/>
  <c r="AH232" i="15"/>
  <c r="AH233" i="15"/>
  <c r="AH234" i="15"/>
  <c r="AH235" i="15"/>
  <c r="AH236" i="15"/>
  <c r="AH237" i="15"/>
  <c r="AH238" i="15"/>
  <c r="AH239" i="15"/>
  <c r="AH240" i="15"/>
  <c r="AH241" i="15"/>
  <c r="AH225" i="15"/>
  <c r="AH224" i="15"/>
  <c r="Q243" i="15"/>
  <c r="AJ44" i="16" l="1"/>
  <c r="AJ62" i="16" s="1"/>
  <c r="AJ84" i="16" s="1"/>
  <c r="AJ106" i="16" s="1"/>
  <c r="AJ128" i="16" s="1"/>
  <c r="AJ150" i="16" s="1"/>
  <c r="AJ172" i="16" s="1"/>
  <c r="AJ196" i="16" s="1"/>
  <c r="AJ218" i="16" s="1"/>
  <c r="AJ240" i="16" s="1"/>
  <c r="AJ262" i="16" s="1"/>
  <c r="AJ264" i="16" s="1"/>
  <c r="AH216" i="15"/>
  <c r="AH217" i="15"/>
  <c r="AH218" i="15"/>
  <c r="AH219" i="15"/>
  <c r="AH220" i="15"/>
  <c r="AH221" i="15"/>
  <c r="AH205" i="15"/>
  <c r="AH206" i="15"/>
  <c r="AH207" i="15"/>
  <c r="AH208" i="15"/>
  <c r="AH209" i="15"/>
  <c r="AH210" i="15"/>
  <c r="AH211" i="15"/>
  <c r="AH212" i="15"/>
  <c r="AH213" i="15"/>
  <c r="AH214" i="15"/>
  <c r="AH215" i="15"/>
  <c r="AH204" i="15"/>
  <c r="AH203" i="15"/>
  <c r="Q222" i="15"/>
  <c r="AH185" i="15"/>
  <c r="AH186" i="15"/>
  <c r="AH187" i="15"/>
  <c r="AH188" i="15"/>
  <c r="AH189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184" i="15"/>
  <c r="AH183" i="15"/>
  <c r="Q201" i="15" l="1"/>
  <c r="AH168" i="15"/>
  <c r="AH169" i="15"/>
  <c r="AH170" i="15"/>
  <c r="AH171" i="15"/>
  <c r="AH172" i="15"/>
  <c r="AH173" i="15"/>
  <c r="AH174" i="15"/>
  <c r="AH175" i="15"/>
  <c r="AH176" i="15"/>
  <c r="AH177" i="15"/>
  <c r="AH178" i="15"/>
  <c r="AH179" i="15"/>
  <c r="AH180" i="15"/>
  <c r="AH167" i="15"/>
  <c r="AH166" i="15"/>
  <c r="AH162" i="15"/>
  <c r="AH163" i="15"/>
  <c r="Q181" i="15"/>
  <c r="AH161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47" i="15"/>
  <c r="AH146" i="15"/>
  <c r="Q164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127" i="15"/>
  <c r="Q144" i="15"/>
  <c r="AH123" i="15"/>
  <c r="AH124" i="15"/>
  <c r="AH119" i="15"/>
  <c r="AH120" i="15"/>
  <c r="AH121" i="15"/>
  <c r="AH122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07" i="15"/>
  <c r="AH106" i="15"/>
  <c r="Q125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87" i="15"/>
  <c r="AH86" i="15"/>
  <c r="Q104" i="15"/>
  <c r="AH73" i="15"/>
  <c r="AH74" i="15"/>
  <c r="AH75" i="15"/>
  <c r="AH76" i="15"/>
  <c r="AH77" i="15"/>
  <c r="AH78" i="15"/>
  <c r="AH79" i="15"/>
  <c r="AH80" i="15"/>
  <c r="AH81" i="15"/>
  <c r="AH82" i="15"/>
  <c r="AH83" i="15"/>
  <c r="AH72" i="15"/>
  <c r="AH69" i="15"/>
  <c r="AH70" i="15"/>
  <c r="AH71" i="15"/>
  <c r="AH66" i="15"/>
  <c r="AH67" i="15"/>
  <c r="AH68" i="15"/>
  <c r="AH65" i="15"/>
  <c r="AH64" i="15"/>
  <c r="Q84" i="15"/>
  <c r="U84" i="15" s="1"/>
  <c r="AH47" i="15"/>
  <c r="AH46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45" i="15"/>
  <c r="AH44" i="15"/>
  <c r="Q62" i="15"/>
  <c r="AH38" i="15"/>
  <c r="AH39" i="15"/>
  <c r="AH40" i="15"/>
  <c r="AH41" i="15"/>
  <c r="AH37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23" i="15"/>
  <c r="AH22" i="15"/>
  <c r="Q42" i="15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3" i="15"/>
  <c r="AH2" i="15"/>
  <c r="U144" i="15" l="1"/>
  <c r="Q20" i="15"/>
  <c r="AK42" i="15" s="1"/>
  <c r="AK62" i="15" s="1"/>
  <c r="AK84" i="15" s="1"/>
  <c r="AK104" i="15" s="1"/>
  <c r="AK125" i="15" s="1"/>
  <c r="AK144" i="15" s="1"/>
  <c r="AK164" i="15" s="1"/>
  <c r="AK181" i="15" s="1"/>
  <c r="AK201" i="15" s="1"/>
  <c r="AK222" i="15" s="1"/>
  <c r="AK243" i="15" s="1"/>
  <c r="AK245" i="15" s="1"/>
  <c r="G263" i="14"/>
  <c r="F263" i="14"/>
  <c r="F266" i="14" s="1"/>
  <c r="AO214" i="14"/>
  <c r="AN214" i="14"/>
  <c r="AH229" i="14"/>
  <c r="AH230" i="14"/>
  <c r="AH231" i="14"/>
  <c r="AH232" i="14"/>
  <c r="AH233" i="14"/>
  <c r="AH234" i="14"/>
  <c r="AH235" i="14"/>
  <c r="AH236" i="14"/>
  <c r="AH237" i="14"/>
  <c r="AH238" i="14"/>
  <c r="AH239" i="14"/>
  <c r="AH240" i="14"/>
  <c r="AH241" i="14"/>
  <c r="AH242" i="14"/>
  <c r="AH243" i="14"/>
  <c r="AH228" i="14"/>
  <c r="AH227" i="14"/>
  <c r="Q244" i="14"/>
  <c r="AH207" i="14"/>
  <c r="AH208" i="14"/>
  <c r="AH209" i="14"/>
  <c r="AH210" i="14"/>
  <c r="AH211" i="14"/>
  <c r="AH212" i="14"/>
  <c r="AH213" i="14"/>
  <c r="AH214" i="14"/>
  <c r="AH215" i="14"/>
  <c r="AH216" i="14"/>
  <c r="AH217" i="14"/>
  <c r="AH218" i="14"/>
  <c r="AH219" i="14"/>
  <c r="AH220" i="14"/>
  <c r="AH221" i="14"/>
  <c r="AH222" i="14"/>
  <c r="AH223" i="14"/>
  <c r="AH224" i="14"/>
  <c r="AH206" i="14"/>
  <c r="AH205" i="14"/>
  <c r="Q225" i="14"/>
  <c r="AH198" i="14" l="1"/>
  <c r="AH199" i="14"/>
  <c r="AH186" i="14"/>
  <c r="AH187" i="14"/>
  <c r="AH188" i="14"/>
  <c r="AH189" i="14"/>
  <c r="AH190" i="14"/>
  <c r="AH191" i="14"/>
  <c r="AH192" i="14"/>
  <c r="AH193" i="14"/>
  <c r="AH194" i="14"/>
  <c r="AH195" i="14"/>
  <c r="AH196" i="14"/>
  <c r="AH197" i="14"/>
  <c r="AH200" i="14"/>
  <c r="AH201" i="14"/>
  <c r="AH202" i="14"/>
  <c r="AH185" i="14"/>
  <c r="AH184" i="14"/>
  <c r="Q203" i="14"/>
  <c r="S203" i="14" s="1"/>
  <c r="U203" i="14" s="1"/>
  <c r="AH165" i="14"/>
  <c r="AH166" i="14"/>
  <c r="AH167" i="14"/>
  <c r="AH168" i="14"/>
  <c r="AH169" i="14"/>
  <c r="AH170" i="14"/>
  <c r="AH171" i="14"/>
  <c r="AH172" i="14"/>
  <c r="AH173" i="14"/>
  <c r="AH174" i="14"/>
  <c r="AH175" i="14"/>
  <c r="AH176" i="14"/>
  <c r="AH177" i="14"/>
  <c r="AH178" i="14"/>
  <c r="AH179" i="14"/>
  <c r="AH180" i="14"/>
  <c r="AH181" i="14"/>
  <c r="AH164" i="14"/>
  <c r="AH163" i="14"/>
  <c r="Q182" i="14"/>
  <c r="AH144" i="14"/>
  <c r="AH145" i="14"/>
  <c r="AH146" i="14"/>
  <c r="AH147" i="14"/>
  <c r="AH148" i="14"/>
  <c r="AH149" i="14"/>
  <c r="AH150" i="14"/>
  <c r="AH151" i="14"/>
  <c r="AH152" i="14"/>
  <c r="AH153" i="14"/>
  <c r="AH154" i="14"/>
  <c r="AH155" i="14"/>
  <c r="AH156" i="14"/>
  <c r="AH157" i="14"/>
  <c r="AH158" i="14"/>
  <c r="AH159" i="14"/>
  <c r="AH160" i="14"/>
  <c r="AH143" i="14"/>
  <c r="AH142" i="14"/>
  <c r="Q161" i="14"/>
  <c r="AH122" i="14"/>
  <c r="AH123" i="14"/>
  <c r="AH124" i="14"/>
  <c r="AH125" i="14"/>
  <c r="AH126" i="14"/>
  <c r="AH127" i="14"/>
  <c r="AH128" i="14"/>
  <c r="AH129" i="14"/>
  <c r="AH130" i="14"/>
  <c r="AH131" i="14"/>
  <c r="AH132" i="14"/>
  <c r="AH133" i="14"/>
  <c r="AH134" i="14"/>
  <c r="AH135" i="14"/>
  <c r="AH136" i="14"/>
  <c r="AH137" i="14"/>
  <c r="AH138" i="14"/>
  <c r="AH139" i="14"/>
  <c r="AH121" i="14"/>
  <c r="AH120" i="14"/>
  <c r="Q140" i="14"/>
  <c r="AH103" i="14"/>
  <c r="AH104" i="14"/>
  <c r="AH105" i="14"/>
  <c r="AH106" i="14"/>
  <c r="AH107" i="14"/>
  <c r="AH108" i="14"/>
  <c r="AH109" i="14"/>
  <c r="AH110" i="14"/>
  <c r="AH111" i="14"/>
  <c r="AH112" i="14"/>
  <c r="AH113" i="14"/>
  <c r="AH114" i="14"/>
  <c r="AH115" i="14"/>
  <c r="AH116" i="14"/>
  <c r="AH117" i="14"/>
  <c r="AH102" i="14"/>
  <c r="AH101" i="14"/>
  <c r="Q118" i="14" l="1"/>
  <c r="Q99" i="14"/>
  <c r="AH83" i="14"/>
  <c r="AH84" i="14"/>
  <c r="AH85" i="14"/>
  <c r="AH86" i="14"/>
  <c r="AH87" i="14"/>
  <c r="AH88" i="14"/>
  <c r="AH89" i="14"/>
  <c r="AH90" i="14"/>
  <c r="AH91" i="14"/>
  <c r="AH92" i="14"/>
  <c r="AH93" i="14"/>
  <c r="AH94" i="14"/>
  <c r="AH95" i="14"/>
  <c r="AH96" i="14"/>
  <c r="AH97" i="14"/>
  <c r="AH98" i="14"/>
  <c r="AH82" i="14"/>
  <c r="AH81" i="14"/>
  <c r="S118" i="14" l="1"/>
  <c r="AH64" i="14"/>
  <c r="AH65" i="14"/>
  <c r="AH66" i="14"/>
  <c r="AH67" i="14"/>
  <c r="AH68" i="14"/>
  <c r="AH69" i="14"/>
  <c r="AH70" i="14"/>
  <c r="AH71" i="14"/>
  <c r="AH72" i="14"/>
  <c r="AH73" i="14"/>
  <c r="AH74" i="14"/>
  <c r="AH75" i="14"/>
  <c r="AH76" i="14"/>
  <c r="AH77" i="14"/>
  <c r="AH78" i="14"/>
  <c r="AH63" i="14"/>
  <c r="AH62" i="14"/>
  <c r="Q79" i="14"/>
  <c r="S79" i="14" s="1"/>
  <c r="AH56" i="14"/>
  <c r="AH57" i="14"/>
  <c r="AH58" i="14"/>
  <c r="AH59" i="14"/>
  <c r="AH43" i="14"/>
  <c r="AH44" i="14"/>
  <c r="AH45" i="14"/>
  <c r="AH46" i="14"/>
  <c r="AH47" i="14"/>
  <c r="AH48" i="14"/>
  <c r="AH49" i="14"/>
  <c r="AH50" i="14"/>
  <c r="AH51" i="14"/>
  <c r="AH52" i="14"/>
  <c r="AH53" i="14"/>
  <c r="AH54" i="14"/>
  <c r="AH55" i="14"/>
  <c r="AH42" i="14"/>
  <c r="AH41" i="14"/>
  <c r="Q60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25" i="14"/>
  <c r="AH24" i="14"/>
  <c r="AH23" i="14"/>
  <c r="Q39" i="14"/>
  <c r="AH5" i="14"/>
  <c r="AH6" i="14"/>
  <c r="AH7" i="14"/>
  <c r="AH8" i="14"/>
  <c r="AH9" i="14"/>
  <c r="AH10" i="14"/>
  <c r="AH11" i="14"/>
  <c r="AH12" i="14"/>
  <c r="AH13" i="14"/>
  <c r="AH14" i="14"/>
  <c r="AH15" i="14"/>
  <c r="AH16" i="14"/>
  <c r="AH17" i="14"/>
  <c r="AH18" i="14"/>
  <c r="AH19" i="14"/>
  <c r="AH20" i="14"/>
  <c r="AH4" i="14"/>
  <c r="AH3" i="14"/>
  <c r="AH2" i="14"/>
  <c r="Q21" i="14"/>
  <c r="AK252" i="12"/>
  <c r="AL14" i="12"/>
  <c r="AK39" i="14" l="1"/>
  <c r="AK60" i="14" s="1"/>
  <c r="AK79" i="14" s="1"/>
  <c r="AK99" i="14" s="1"/>
  <c r="AK118" i="14" s="1"/>
  <c r="AK140" i="14" s="1"/>
  <c r="AK161" i="14" s="1"/>
  <c r="AK182" i="14" s="1"/>
  <c r="AK203" i="14" s="1"/>
  <c r="AK225" i="14" s="1"/>
  <c r="AH227" i="12"/>
  <c r="AH228" i="12"/>
  <c r="AH229" i="12"/>
  <c r="AH230" i="12"/>
  <c r="AH231" i="12"/>
  <c r="AH232" i="12"/>
  <c r="AH233" i="12"/>
  <c r="AH234" i="12"/>
  <c r="AH235" i="12"/>
  <c r="AH236" i="12"/>
  <c r="AH237" i="12"/>
  <c r="AH238" i="12"/>
  <c r="AH239" i="12"/>
  <c r="AH240" i="12"/>
  <c r="AH241" i="12"/>
  <c r="AH226" i="12"/>
  <c r="AH225" i="12"/>
  <c r="AK244" i="14" l="1"/>
  <c r="AK246" i="14" s="1"/>
  <c r="AK248" i="14" s="1"/>
  <c r="AK252" i="14" s="1"/>
  <c r="AK254" i="14" s="1"/>
  <c r="AH220" i="12"/>
  <c r="Q242" i="12"/>
  <c r="AH205" i="12"/>
  <c r="AH206" i="12"/>
  <c r="AH207" i="12"/>
  <c r="AH208" i="12"/>
  <c r="AH209" i="12"/>
  <c r="AH210" i="12"/>
  <c r="AH211" i="12"/>
  <c r="AH212" i="12"/>
  <c r="AH213" i="12"/>
  <c r="AH214" i="12"/>
  <c r="AH215" i="12"/>
  <c r="AH216" i="12"/>
  <c r="AH217" i="12"/>
  <c r="AH218" i="12"/>
  <c r="AH219" i="12"/>
  <c r="AH221" i="12"/>
  <c r="AH222" i="12"/>
  <c r="AH204" i="12"/>
  <c r="AH203" i="12"/>
  <c r="Q223" i="12"/>
  <c r="C24" i="13"/>
  <c r="C23" i="13"/>
  <c r="B21" i="13"/>
  <c r="AH186" i="12"/>
  <c r="AH188" i="12"/>
  <c r="AH189" i="12"/>
  <c r="AH190" i="12"/>
  <c r="AH191" i="12"/>
  <c r="AH192" i="12"/>
  <c r="AH193" i="12"/>
  <c r="AH194" i="12"/>
  <c r="AH195" i="12"/>
  <c r="AH196" i="12"/>
  <c r="AH197" i="12"/>
  <c r="AH198" i="12"/>
  <c r="AH199" i="12"/>
  <c r="AH200" i="12"/>
  <c r="AH185" i="12"/>
  <c r="AH184" i="12"/>
  <c r="C187" i="12"/>
  <c r="Q201" i="12" s="1"/>
  <c r="D187" i="12"/>
  <c r="AH165" i="12"/>
  <c r="AH166" i="12"/>
  <c r="AH167" i="12"/>
  <c r="AH168" i="12"/>
  <c r="AH169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64" i="12"/>
  <c r="AH163" i="12"/>
  <c r="Q182" i="12"/>
  <c r="AH144" i="12"/>
  <c r="AH145" i="12"/>
  <c r="AH146" i="12"/>
  <c r="AH147" i="12"/>
  <c r="AH148" i="12"/>
  <c r="AH149" i="12"/>
  <c r="AH150" i="12"/>
  <c r="AH151" i="12"/>
  <c r="AH152" i="12"/>
  <c r="AH153" i="12"/>
  <c r="AH154" i="12"/>
  <c r="AH155" i="12"/>
  <c r="AH156" i="12"/>
  <c r="AH157" i="12"/>
  <c r="AH158" i="12"/>
  <c r="AH159" i="12"/>
  <c r="AH160" i="12"/>
  <c r="AH143" i="12"/>
  <c r="AH142" i="12"/>
  <c r="AH135" i="12"/>
  <c r="AH138" i="12"/>
  <c r="Q161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6" i="12"/>
  <c r="AH137" i="12"/>
  <c r="AH139" i="12"/>
  <c r="AH122" i="12"/>
  <c r="AH121" i="12"/>
  <c r="Q140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05" i="12"/>
  <c r="AH104" i="12"/>
  <c r="Q119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85" i="12"/>
  <c r="AH84" i="12"/>
  <c r="Q102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187" i="12" l="1"/>
  <c r="AH63" i="12"/>
  <c r="AH64" i="12"/>
  <c r="AH65" i="12"/>
  <c r="AH66" i="12"/>
  <c r="AH67" i="12"/>
  <c r="AH68" i="12"/>
  <c r="AH62" i="12"/>
  <c r="AH61" i="12"/>
  <c r="Q8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42" i="12"/>
  <c r="AH41" i="12"/>
  <c r="Q59" i="12"/>
  <c r="AH35" i="12"/>
  <c r="AH36" i="12"/>
  <c r="AH37" i="12"/>
  <c r="AH38" i="12"/>
  <c r="AH32" i="12"/>
  <c r="AH23" i="12"/>
  <c r="AH24" i="12"/>
  <c r="AH25" i="12"/>
  <c r="AH26" i="12"/>
  <c r="AH27" i="12"/>
  <c r="AH28" i="12"/>
  <c r="AH29" i="12"/>
  <c r="AH30" i="12"/>
  <c r="AH31" i="12"/>
  <c r="AH33" i="12"/>
  <c r="AH34" i="12"/>
  <c r="AH22" i="12"/>
  <c r="Q39" i="12"/>
  <c r="AH13" i="12"/>
  <c r="AH4" i="12"/>
  <c r="AH5" i="12"/>
  <c r="AH6" i="12"/>
  <c r="AH7" i="12"/>
  <c r="AH8" i="12"/>
  <c r="AH9" i="12"/>
  <c r="AH10" i="12"/>
  <c r="AH11" i="12"/>
  <c r="AH12" i="12"/>
  <c r="AH14" i="12"/>
  <c r="AH15" i="12"/>
  <c r="AH16" i="12"/>
  <c r="AH17" i="12"/>
  <c r="AH18" i="12"/>
  <c r="AH19" i="12"/>
  <c r="AH3" i="12"/>
  <c r="AH2" i="12"/>
  <c r="Q20" i="12"/>
  <c r="AH224" i="11"/>
  <c r="AH222" i="11"/>
  <c r="AH212" i="11"/>
  <c r="AH213" i="11"/>
  <c r="AH214" i="11"/>
  <c r="AH215" i="11"/>
  <c r="AH216" i="11"/>
  <c r="AH217" i="11"/>
  <c r="AH218" i="11"/>
  <c r="AH219" i="11"/>
  <c r="AH220" i="11"/>
  <c r="AH221" i="11"/>
  <c r="AH223" i="11"/>
  <c r="AH225" i="11"/>
  <c r="AH226" i="11"/>
  <c r="AH227" i="11"/>
  <c r="AH228" i="11"/>
  <c r="AH229" i="11"/>
  <c r="AH230" i="11"/>
  <c r="AH211" i="11"/>
  <c r="AH210" i="11"/>
  <c r="Q231" i="11"/>
  <c r="AH194" i="11"/>
  <c r="AH195" i="11"/>
  <c r="AH196" i="11"/>
  <c r="AH197" i="11"/>
  <c r="AH198" i="11"/>
  <c r="AH199" i="11"/>
  <c r="AH200" i="11"/>
  <c r="AH201" i="11"/>
  <c r="AH202" i="11"/>
  <c r="AH203" i="11"/>
  <c r="AH204" i="11"/>
  <c r="AH205" i="11"/>
  <c r="AH206" i="11"/>
  <c r="AH207" i="11"/>
  <c r="AH193" i="11"/>
  <c r="AH192" i="11"/>
  <c r="Q208" i="11"/>
  <c r="AH172" i="11"/>
  <c r="AH173" i="11"/>
  <c r="AH174" i="11"/>
  <c r="AH175" i="11"/>
  <c r="AH176" i="11"/>
  <c r="AH177" i="11"/>
  <c r="AH178" i="11"/>
  <c r="AH179" i="11"/>
  <c r="AH180" i="11"/>
  <c r="AH181" i="11"/>
  <c r="AH182" i="11"/>
  <c r="AH183" i="11"/>
  <c r="AH184" i="11"/>
  <c r="AH185" i="11"/>
  <c r="AH186" i="11"/>
  <c r="AH187" i="11"/>
  <c r="AH188" i="11"/>
  <c r="AH189" i="11"/>
  <c r="AH171" i="11"/>
  <c r="AH170" i="11"/>
  <c r="Q190" i="11"/>
  <c r="AH166" i="11"/>
  <c r="AH167" i="11"/>
  <c r="AH152" i="11"/>
  <c r="AH153" i="11"/>
  <c r="AH154" i="11"/>
  <c r="AH155" i="11"/>
  <c r="AH156" i="11"/>
  <c r="AH157" i="11"/>
  <c r="AH158" i="11"/>
  <c r="AH159" i="11"/>
  <c r="AH160" i="11"/>
  <c r="AH161" i="11"/>
  <c r="AH162" i="11"/>
  <c r="AH163" i="11"/>
  <c r="AH164" i="11"/>
  <c r="AH165" i="11"/>
  <c r="AH151" i="11"/>
  <c r="AH150" i="11"/>
  <c r="Q168" i="11"/>
  <c r="AH132" i="11"/>
  <c r="AH133" i="11"/>
  <c r="AH134" i="11"/>
  <c r="AH135" i="11"/>
  <c r="AH136" i="11"/>
  <c r="AH137" i="11"/>
  <c r="AH138" i="11"/>
  <c r="AH139" i="11"/>
  <c r="AH140" i="11"/>
  <c r="AH141" i="11"/>
  <c r="AH142" i="11"/>
  <c r="AH143" i="11"/>
  <c r="AH144" i="11"/>
  <c r="AH145" i="11"/>
  <c r="AH146" i="11"/>
  <c r="AH147" i="11"/>
  <c r="AH131" i="11"/>
  <c r="AH130" i="11"/>
  <c r="AH114" i="11"/>
  <c r="AH115" i="11"/>
  <c r="AH116" i="11"/>
  <c r="AH117" i="11"/>
  <c r="AH118" i="11"/>
  <c r="AH119" i="11"/>
  <c r="AH120" i="11"/>
  <c r="AH121" i="11"/>
  <c r="AH122" i="11"/>
  <c r="AH123" i="11"/>
  <c r="AH124" i="11"/>
  <c r="AH125" i="11"/>
  <c r="AH126" i="11"/>
  <c r="AH127" i="11"/>
  <c r="AH113" i="11"/>
  <c r="AK39" i="12" l="1"/>
  <c r="AK59" i="12" s="1"/>
  <c r="AK82" i="12" s="1"/>
  <c r="AK102" i="12" s="1"/>
  <c r="AK119" i="12" s="1"/>
  <c r="AK140" i="12" s="1"/>
  <c r="AK161" i="12" s="1"/>
  <c r="AK182" i="12" s="1"/>
  <c r="AK201" i="12" s="1"/>
  <c r="AK223" i="12" s="1"/>
  <c r="AK242" i="12" s="1"/>
  <c r="AK244" i="12" s="1"/>
  <c r="AK246" i="12" s="1"/>
  <c r="AK21" i="12"/>
  <c r="Q128" i="11"/>
  <c r="Q148" i="11"/>
  <c r="AH106" i="11"/>
  <c r="AH96" i="11" l="1"/>
  <c r="AH97" i="11"/>
  <c r="AH98" i="11"/>
  <c r="AH99" i="11"/>
  <c r="AH100" i="11"/>
  <c r="AH101" i="11"/>
  <c r="AH102" i="11"/>
  <c r="AH103" i="11"/>
  <c r="AH104" i="11"/>
  <c r="AH105" i="11"/>
  <c r="AH107" i="11"/>
  <c r="AH108" i="11"/>
  <c r="AH109" i="11"/>
  <c r="AH110" i="11"/>
  <c r="AH95" i="11"/>
  <c r="AH94" i="11"/>
  <c r="Q111" i="11" l="1"/>
  <c r="AH76" i="11" l="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75" i="11"/>
  <c r="Q92" i="11" l="1"/>
  <c r="S92" i="11" l="1"/>
  <c r="AH59" i="11" l="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58" i="11"/>
  <c r="AH57" i="11"/>
  <c r="AH56" i="11"/>
  <c r="Q73" i="11" l="1"/>
  <c r="AH39" i="11" l="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38" i="11"/>
  <c r="Q54" i="11" l="1"/>
  <c r="R54" i="11" l="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20" i="11"/>
  <c r="AH8" i="11" l="1"/>
  <c r="Q36" i="11" l="1"/>
  <c r="R36" i="11" l="1"/>
  <c r="AH3" i="11"/>
  <c r="AH4" i="11"/>
  <c r="AH5" i="11"/>
  <c r="AH6" i="11"/>
  <c r="AH7" i="11"/>
  <c r="AH9" i="11"/>
  <c r="AH10" i="11"/>
  <c r="AH11" i="11"/>
  <c r="AH12" i="11"/>
  <c r="AH13" i="11"/>
  <c r="AH14" i="11"/>
  <c r="AH15" i="11"/>
  <c r="AH16" i="11"/>
  <c r="AH17" i="11"/>
  <c r="AH2" i="11"/>
  <c r="Q18" i="11" l="1"/>
  <c r="Q238" i="11" s="1"/>
  <c r="R238" i="11" s="1"/>
  <c r="Q240" i="11" l="1"/>
  <c r="R240" i="11" s="1"/>
  <c r="R1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tc={487D3D49-AE6B-453F-8488-7CC729399024}</author>
    <author>tc={585C58BD-4472-4BB3-B3AE-482B0D0D7C54}</author>
    <author>tc={9071A390-852A-4C52-82E1-A6304F19205C}</author>
    <author>tc={CA66623D-A239-4975-ACEB-27CCC32D2601}</author>
    <author>tc={18BA0808-59A2-404B-940C-57DEB9B78647}</author>
    <author>tc={67DB350A-01B2-4528-BFAD-73BAEDDD9D8D}</author>
    <author>tc={367720DD-886A-4831-BFE6-599FF5A568C0}</author>
    <author>tc={5D39A86E-0028-4C8D-B2F7-D667CB05813E}</author>
    <author>tc={8D79D520-8E92-4186-BE8F-D5700716B2AD}</author>
    <author>tc={CAF2C4ED-9C63-4772-B5B5-A71372CFBFDF}</author>
    <author>tc={7C1A3F6F-59CF-46BE-8109-6F90D1F44567}</author>
    <author>tc={D978DA63-E6D8-434D-B8B2-4C21D9F40B8F}</author>
    <author>tc={C9ADB7B4-78ED-4D17-8B6B-ED622CF62E1C}</author>
    <author>tc={B49D6BEC-054A-4E73-8E19-152A1518C18D}</author>
    <author>tc={E1846177-25D0-429A-B7CE-CBC43B7DF247}</author>
    <author>tc={2E7B23E1-623E-44C8-A6EB-278B33E1B19A}</author>
    <author>tc={AABC706E-C1E8-49C0-8D0E-C2CECF388AA0}</author>
    <author>tc={6689A279-2762-4B60-8E15-4B4BE4FBE4CC}</author>
  </authors>
  <commentList>
    <comment ref="H52" authorId="0" shapeId="0" xr:uid="{487D3D49-AE6B-453F-8488-7CC729399024}">
      <text>
        <t>[Threaded comment]
Your version of Excel allows you to read this threaded comment; however, any edits to it will get removed if the file is opened in a newer version of Excel. Learn more: https://go.microsoft.com/fwlink/?linkid=870924
Comment:
    dryfruits</t>
      </text>
    </comment>
    <comment ref="H53" authorId="1" shapeId="0" xr:uid="{585C58BD-4472-4BB3-B3AE-482B0D0D7C54}">
      <text>
        <t>[Threaded comment]
Your version of Excel allows you to read this threaded comment; however, any edits to it will get removed if the file is opened in a newer version of Excel. Learn more: https://go.microsoft.com/fwlink/?linkid=870924
Comment:
    sriRamappa</t>
      </text>
    </comment>
    <comment ref="L70" authorId="2" shapeId="0" xr:uid="{9071A390-852A-4C52-82E1-A6304F19205C}">
      <text>
        <t>[Threaded comment]
Your version of Excel allows you to read this threaded comment; however, any edits to it will get removed if the file is opened in a newer version of Excel. Learn more: https://go.microsoft.com/fwlink/?linkid=870924
Comment:
    sajal kapoor</t>
      </text>
    </comment>
    <comment ref="O72" authorId="3" shapeId="0" xr:uid="{CA66623D-A239-4975-ACEB-27CCC32D2601}">
      <text>
        <t>[Threaded comment]
Your version of Excel allows you to read this threaded comment; however, any edits to it will get removed if the file is opened in a newer version of Excel. Learn more: https://go.microsoft.com/fwlink/?linkid=870924
Comment:
    Subbu's funeral</t>
      </text>
    </comment>
    <comment ref="Q126" authorId="4" shapeId="0" xr:uid="{18BA0808-59A2-404B-940C-57DEB9B78647}">
      <text>
        <t>[Threaded comment]
Your version of Excel allows you to read this threaded comment; however, any edits to it will get removed if the file is opened in a newer version of Excel. Learn more: https://go.microsoft.com/fwlink/?linkid=870924
Comment:
    6th school fees</t>
      </text>
    </comment>
    <comment ref="AD126" authorId="5" shapeId="0" xr:uid="{67DB350A-01B2-4528-BFAD-73BAEDDD9D8D}">
      <text>
        <t>[Threaded comment]
Your version of Excel allows you to read this threaded comment; however, any edits to it will get removed if the file is opened in a newer version of Excel. Learn more: https://go.microsoft.com/fwlink/?linkid=870924
Comment:
    SchoolBooks</t>
      </text>
    </comment>
    <comment ref="D133" authorId="6" shapeId="0" xr:uid="{367720DD-886A-4831-BFE6-599FF5A568C0}">
      <text>
        <t>[Threaded comment]
Your version of Excel allows you to read this threaded comment; however, any edits to it will get removed if the file is opened in a newer version of Excel. Learn more: https://go.microsoft.com/fwlink/?linkid=870924
Comment:
    bellulli</t>
      </text>
    </comment>
    <comment ref="W145" authorId="7" shapeId="0" xr:uid="{5D39A86E-0028-4C8D-B2F7-D667CB0581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incometax</t>
      </text>
    </comment>
    <comment ref="AF146" authorId="8" shapeId="0" xr:uid="{8D79D520-8E92-4186-BE8F-D5700716B2AD}">
      <text>
        <t>[Threaded comment]
Your version of Excel allows you to read this threaded comment; however, any edits to it will get removed if the file is opened in a newer version of Excel. Learn more: https://go.microsoft.com/fwlink/?linkid=870924
Comment:
    dress</t>
      </text>
    </comment>
    <comment ref="D147" authorId="9" shapeId="0" xr:uid="{CAF2C4ED-9C63-4772-B5B5-A71372CFBFDF}">
      <text>
        <t>[Threaded comment]
Your version of Excel allows you to read this threaded comment; however, any edits to it will get removed if the file is opened in a newer version of Excel. Learn more: https://go.microsoft.com/fwlink/?linkid=870924
Comment:
    tubelight50
mixiejar150
washing machine knob50</t>
      </text>
    </comment>
    <comment ref="E147" authorId="10" shapeId="0" xr:uid="{7C1A3F6F-59CF-46BE-8109-6F90D1F44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raagi machine</t>
      </text>
    </comment>
    <comment ref="Z165" authorId="11" shapeId="0" xr:uid="{D978DA63-E6D8-434D-B8B2-4C21D9F40B8F}">
      <text>
        <t>[Threaded comment]
Your version of Excel allows you to read this threaded comment; however, any edits to it will get removed if the file is opened in a newer version of Excel. Learn more: https://go.microsoft.com/fwlink/?linkid=870924
Comment:
    maxiflo</t>
      </text>
    </comment>
    <comment ref="W166" authorId="12" shapeId="0" xr:uid="{C9ADB7B4-78ED-4D17-8B6B-ED622CF62E1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dance</t>
      </text>
    </comment>
    <comment ref="F187" authorId="13" shapeId="0" xr:uid="{B49D6BEC-054A-4E73-8E19-152A1518C18D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tablets</t>
      </text>
    </comment>
    <comment ref="G187" authorId="14" shapeId="0" xr:uid="{E1846177-25D0-429A-B7CE-CBC43B7D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Medical insurance copay</t>
      </text>
    </comment>
    <comment ref="G189" authorId="15" shapeId="0" xr:uid="{2E7B23E1-623E-44C8-A6EB-278B33E1B1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car service</t>
      </text>
    </comment>
    <comment ref="D206" authorId="16" shapeId="0" xr:uid="{AABC706E-C1E8-49C0-8D0E-C2CECF388AA0}">
      <text>
        <t>[Threaded comment]
Your version of Excel allows you to read this threaded comment; however, any edits to it will get removed if the file is opened in a newer version of Excel. Learn more: https://go.microsoft.com/fwlink/?linkid=870924
Comment:
    Pataki</t>
      </text>
    </comment>
    <comment ref="X224" authorId="17" shapeId="0" xr:uid="{6689A279-2762-4B60-8E15-4B4BE4FBE4CC}">
      <text>
        <t>[Threaded comment]
Your version of Excel allows you to read this threaded comment; however, any edits to it will get removed if the file is opened in a newer version of Excel. Learn more: https://go.microsoft.com/fwlink/?linkid=870924
Comment:
    victor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tc={9AAA0908-8B65-4753-8A20-BECA727385D0}</author>
    <author>tc={58A2C304-1828-4880-9F0D-3D87ED9FCBDD}</author>
    <author>tc={6529B664-B1F9-40B7-A543-34D772804248}</author>
    <author>tc={9472E318-08AB-45D9-8C7F-007ADFB113A0}</author>
    <author>tc={3A024D60-695D-4C93-B379-EB21505A64ED}</author>
  </authors>
  <commentList>
    <comment ref="P77" authorId="0" shapeId="0" xr:uid="{9AAA0908-8B65-4753-8A20-BECA727385D0}">
      <text>
        <t>[Threaded comment]
Your version of Excel allows you to read this threaded comment; however, any edits to it will get removed if the file is opened in a newer version of Excel. Learn more: https://go.microsoft.com/fwlink/?linkid=870924
Comment:
    Swimming</t>
      </text>
    </comment>
    <comment ref="AD81" authorId="1" shapeId="0" xr:uid="{58A2C304-1828-4880-9F0D-3D87ED9FCB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PropertyTax</t>
      </text>
    </comment>
    <comment ref="AD101" authorId="2" shapeId="0" xr:uid="{6529B664-B1F9-40B7-A543-34D77280424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Chamber connection by vishnu</t>
      </text>
    </comment>
    <comment ref="Z180" authorId="3" shapeId="0" xr:uid="{9472E318-08AB-45D9-8C7F-007ADFB113A0}">
      <text>
        <t>[Threaded comment]
Your version of Excel allows you to read this threaded comment; however, any edits to it will get removed if the file is opened in a newer version of Excel. Learn more: https://go.microsoft.com/fwlink/?linkid=870924
Comment:
    500/30/90/75/20</t>
      </text>
    </comment>
    <comment ref="AC237" authorId="4" shapeId="0" xr:uid="{3A024D60-695D-4C93-B379-EB21505A64ED}">
      <text>
        <t>[Threaded comment]
Your version of Excel allows you to read this threaded comment; however, any edits to it will get removed if the file is opened in a newer version of Excel. Learn more: https://go.microsoft.com/fwlink/?linkid=870924
Comment:
    gin party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Niranjana Datta K A</author>
  </authors>
  <commentList>
    <comment ref="L139" authorId="0" shapeId="0" xr:uid="{884D0750-BE85-4F03-968C-EB8003BE7AAF}">
      <text>
        <r>
          <rPr>
            <sz val="9"/>
            <color indexed="81"/>
            <rFont val="Tahoma"/>
            <family val="2"/>
          </rPr>
          <t>washing machine repair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tc={6219F27F-33A3-4C74-BBE2-5B0AF980C1EC}</author>
    <author>tc={1EEBED9D-C9C4-4756-9317-F0561492F2B5}</author>
    <author>tc={58073340-7F31-4E2D-B0EF-51715B1CE58B}</author>
    <author>tc={ADF92F4B-E7BA-4F48-8217-87288532FBED}</author>
    <author>tc={680F38BC-BC0B-45FB-8774-7F1C2BEE4C98}</author>
    <author>tc={CB14C3E5-3DF8-44B1-BC40-635C68A5E73A}</author>
    <author>tc={623D219E-4AAB-48FC-B40A-580B42A96E10}</author>
    <author>tc={76EBB15E-607D-4102-B05C-5BDD2F1F840B}</author>
    <author>tc={DBDA3383-49C6-4F83-9E61-813E9A90D8BF}</author>
    <author>Niranjana Datta K A</author>
    <author>tc={04F72752-60DD-4615-B7DE-61ED2E5DCADE}</author>
    <author>tc={A7FEB92C-6129-40D1-A526-94823CD1E392}</author>
    <author>tc={E24176EF-30D0-4261-8FEE-64DD5967E77A}</author>
    <author>tc={6E3A0F33-1E52-43FA-8CB9-E52E584A5ADC}</author>
  </authors>
  <commentList>
    <comment ref="C80" authorId="0" shapeId="0" xr:uid="{6219F27F-33A3-4C74-BBE2-5B0AF980C1EC}">
      <text>
        <t>[Threaded comment]
Your version of Excel allows you to read this threaded comment; however, any edits to it will get removed if the file is opened in a newer version of Excel. Learn more: https://go.microsoft.com/fwlink/?linkid=870924
Comment:
    Dress for ugadi</t>
      </text>
    </comment>
    <comment ref="E80" authorId="1" shapeId="0" xr:uid="{1EEBED9D-C9C4-4756-9317-F0561492F2B5}">
      <text>
        <t>[Threaded comment]
Your version of Excel allows you to read this threaded comment; however, any edits to it will get removed if the file is opened in a newer version of Excel. Learn more: https://go.microsoft.com/fwlink/?linkid=870924
Comment:
    Maths tutuion Fees</t>
      </text>
    </comment>
    <comment ref="C81" authorId="2" shapeId="0" xr:uid="{58073340-7F31-4E2D-B0EF-51715B1CE58B}">
      <text>
        <t>[Threaded comment]
Your version of Excel allows you to read this threaded comment; however, any edits to it will get removed if the file is opened in a newer version of Excel. Learn more: https://go.microsoft.com/fwlink/?linkid=870924
Comment:
    Dress for ugadi</t>
      </text>
    </comment>
    <comment ref="B82" authorId="3" shapeId="0" xr:uid="{ADF92F4B-E7BA-4F48-8217-87288532FBED}">
      <text>
        <t>[Threaded comment]
Your version of Excel allows you to read this threaded comment; however, any edits to it will get removed if the file is opened in a newer version of Excel. Learn more: https://go.microsoft.com/fwlink/?linkid=870924
Comment:
    Car insurance</t>
      </text>
    </comment>
    <comment ref="F139" authorId="4" shapeId="0" xr:uid="{680F38BC-BC0B-45FB-8774-7F1C2BEE4C98}">
      <text>
        <t>[Threaded comment]
Your version of Excel allows you to read this threaded comment; however, any edits to it will get removed if the file is opened in a newer version of Excel. Learn more: https://go.microsoft.com/fwlink/?linkid=870924
Comment:
    tax</t>
      </text>
    </comment>
    <comment ref="C141" authorId="5" shapeId="0" xr:uid="{CB14C3E5-3DF8-44B1-BC40-635C68A5E73A}">
      <text>
        <t>[Threaded comment]
Your version of Excel allows you to read this threaded comment; however, any edits to it will get removed if the file is opened in a newer version of Excel. Learn more: https://go.microsoft.com/fwlink/?linkid=870924
Comment:
    jio</t>
      </text>
    </comment>
    <comment ref="AB142" authorId="6" shapeId="0" xr:uid="{623D219E-4AAB-48FC-B40A-580B42A96E10}">
      <text>
        <t>[Threaded comment]
Your version of Excel allows you to read this threaded comment; however, any edits to it will get removed if the file is opened in a newer version of Excel. Learn more: https://go.microsoft.com/fwlink/?linkid=870924
Comment:
    Car service</t>
      </text>
    </comment>
    <comment ref="T143" authorId="7" shapeId="0" xr:uid="{76EBB15E-607D-4102-B05C-5BDD2F1F84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PropetyTax</t>
      </text>
    </comment>
    <comment ref="B213" authorId="8" shapeId="0" xr:uid="{DBDA3383-49C6-4F83-9E61-813E9A90D8BF}">
      <text>
        <t>[Threaded comment]
Your version of Excel allows you to read this threaded comment; however, any edits to it will get removed if the file is opened in a newer version of Excel. Learn more: https://go.microsoft.com/fwlink/?linkid=870924
Comment:
    9008723201</t>
      </text>
    </comment>
    <comment ref="W214" authorId="9" shapeId="0" xr:uid="{E1FD9EE9-9A4F-4504-A600-55A7F30CAAEA}">
      <text>
        <r>
          <rPr>
            <sz val="9"/>
            <color indexed="81"/>
            <rFont val="Tahoma"/>
            <family val="2"/>
          </rPr>
          <t>betting with latha1000</t>
        </r>
      </text>
    </comment>
    <comment ref="M220" authorId="10" shapeId="0" xr:uid="{04F72752-60DD-4615-B7DE-61ED2E5DCADE}">
      <text>
        <t>[Threaded comment]
Your version of Excel allows you to read this threaded comment; however, any edits to it will get removed if the file is opened in a newer version of Excel. Learn more: https://go.microsoft.com/fwlink/?linkid=870924
Comment:
    Dad’s thithi</t>
      </text>
    </comment>
    <comment ref="E241" authorId="11" shapeId="0" xr:uid="{A7FEB92C-6129-40D1-A526-94823CD1E392}">
      <text>
        <t>[Threaded comment]
Your version of Excel allows you to read this threaded comment; however, any edits to it will get removed if the file is opened in a newer version of Excel. Learn more: https://go.microsoft.com/fwlink/?linkid=870924
Comment:
    chillar</t>
      </text>
    </comment>
    <comment ref="F241" authorId="12" shapeId="0" xr:uid="{E24176EF-30D0-4261-8FEE-64DD5967E77A}">
      <text>
        <t>[Threaded comment]
Your version of Excel allows you to read this threaded comment; however, any edits to it will get removed if the file is opened in a newer version of Excel. Learn more: https://go.microsoft.com/fwlink/?linkid=870924
Comment:
    Mixie</t>
      </text>
    </comment>
    <comment ref="I241" authorId="13" shapeId="0" xr:uid="{6E3A0F33-1E52-43FA-8CB9-E52E584A5ADC}">
      <text>
        <t>[Threaded comment]
Your version of Excel allows you to read this threaded comment; however, any edits to it will get removed if the file is opened in a newer version of Excel. Learn more: https://go.microsoft.com/fwlink/?linkid=870924
Comment:
    grocery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tc={E84F40EF-9930-4D31-BED1-F395ED023ABD}</author>
  </authors>
  <commentList>
    <comment ref="C36" authorId="0" shapeId="0" xr:uid="{E84F40EF-9930-4D31-BED1-F395ED023ABD}">
      <text>
        <t>[Threaded comment]
Your version of Excel allows you to read this threaded comment; however, any edits to it will get removed if the file is opened in a newer version of Excel. Learn more: https://go.microsoft.com/fwlink/?linkid=870924
Comment:
    kaushal</t>
      </text>
    </comment>
  </commentList>
</comments>
</file>

<file path=xl/sharedStrings.xml><?xml version="1.0" encoding="utf-8"?>
<sst xmlns="http://schemas.openxmlformats.org/spreadsheetml/2006/main" count="2227" uniqueCount="101">
  <si>
    <t>Petrol</t>
  </si>
  <si>
    <t>gift</t>
  </si>
  <si>
    <t>fruits</t>
  </si>
  <si>
    <t>latha</t>
  </si>
  <si>
    <t>house</t>
  </si>
  <si>
    <t>Milk</t>
  </si>
  <si>
    <t>Gudi</t>
  </si>
  <si>
    <t>Hoova</t>
  </si>
  <si>
    <t>Latha</t>
  </si>
  <si>
    <t>cable</t>
  </si>
  <si>
    <t>Gift</t>
  </si>
  <si>
    <t>gas</t>
  </si>
  <si>
    <t>Sahana</t>
  </si>
  <si>
    <t>waterBill</t>
  </si>
  <si>
    <t>NewsPaper</t>
  </si>
  <si>
    <t>elecBill</t>
  </si>
  <si>
    <t>tarakari</t>
  </si>
  <si>
    <t>internet</t>
  </si>
  <si>
    <t>grocery</t>
  </si>
  <si>
    <t>Snacks</t>
  </si>
  <si>
    <t>Niranjan</t>
  </si>
  <si>
    <t>habba</t>
  </si>
  <si>
    <t>Trip</t>
  </si>
  <si>
    <t>trip</t>
  </si>
  <si>
    <t>vehicle</t>
  </si>
  <si>
    <t>houseRepair</t>
  </si>
  <si>
    <t>roof</t>
  </si>
  <si>
    <t>toilet</t>
  </si>
  <si>
    <t>chamber</t>
  </si>
  <si>
    <t>outCham</t>
  </si>
  <si>
    <t>temple</t>
  </si>
  <si>
    <t>Vehicle</t>
  </si>
  <si>
    <t>car</t>
  </si>
  <si>
    <t>Medicine</t>
  </si>
  <si>
    <t>toiletry</t>
  </si>
  <si>
    <t>:</t>
  </si>
  <si>
    <t>Mantralaya</t>
  </si>
  <si>
    <t>train</t>
  </si>
  <si>
    <t>chappali</t>
  </si>
  <si>
    <t>Auto</t>
  </si>
  <si>
    <t>juice</t>
  </si>
  <si>
    <t>bus</t>
  </si>
  <si>
    <t>Eve.coffee</t>
  </si>
  <si>
    <t>manchala</t>
  </si>
  <si>
    <t>prasad</t>
  </si>
  <si>
    <t>mantra</t>
  </si>
  <si>
    <t>bichale</t>
  </si>
  <si>
    <t>auto</t>
  </si>
  <si>
    <t>oota</t>
  </si>
  <si>
    <t>bf</t>
  </si>
  <si>
    <t>hotel</t>
  </si>
  <si>
    <t>train refund</t>
  </si>
  <si>
    <t xml:space="preserve"> </t>
  </si>
  <si>
    <t>Habba</t>
  </si>
  <si>
    <t>Gas</t>
  </si>
  <si>
    <t>GAS</t>
  </si>
  <si>
    <t>navayuga</t>
  </si>
  <si>
    <t>nelamangala</t>
  </si>
  <si>
    <t>bellur</t>
  </si>
  <si>
    <t>kirisave</t>
  </si>
  <si>
    <t>shantigrama</t>
  </si>
  <si>
    <t>BLR-1223-CL-0007494</t>
  </si>
  <si>
    <t>20/11/2023</t>
  </si>
  <si>
    <t>BLR-1223-CL-0007488</t>
  </si>
  <si>
    <t>19/11/2023</t>
  </si>
  <si>
    <t>BLR-1223-CL-0007477</t>
  </si>
  <si>
    <t>16/11/2023</t>
  </si>
  <si>
    <t>21/11/2023</t>
  </si>
  <si>
    <t>22/11/2023</t>
  </si>
  <si>
    <t>23/11/2023</t>
  </si>
  <si>
    <t>18/11/2023</t>
  </si>
  <si>
    <t>BLR-1223-CL-0007484</t>
  </si>
  <si>
    <t>BLR-1223-CL-0007498</t>
  </si>
  <si>
    <t>approved</t>
  </si>
  <si>
    <t>BLR-1223-CL-0007496</t>
  </si>
  <si>
    <t>BLR-1223-CL-0007497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</si>
  <si>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</si>
  <si>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</si>
  <si>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</si>
  <si>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</si>
  <si>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</si>
  <si>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</si>
  <si>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</si>
  <si>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</si>
  <si>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</si>
  <si>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</si>
  <si>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</si>
  <si>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</si>
  <si>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Devasthana</t>
  </si>
  <si>
    <t>Mom</t>
  </si>
  <si>
    <t>function</t>
  </si>
  <si>
    <t>NP</t>
  </si>
  <si>
    <t>Travel</t>
  </si>
  <si>
    <t>Temple</t>
  </si>
  <si>
    <t>travel</t>
  </si>
  <si>
    <t>Maal</t>
  </si>
  <si>
    <t>perPer</t>
  </si>
  <si>
    <t>LIC</t>
  </si>
  <si>
    <t>Devastha</t>
  </si>
  <si>
    <t>Metro</t>
  </si>
  <si>
    <t>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</si>
</sst>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5" fillId="0" borderId="0" xfId="0" applyFont="1"/>
    <xf numFmtId="0" fontId="2" fillId="0" borderId="0" xfId="0" applyFont="1"/>
    <xf numFmtId="0" fontId="3" fillId="2" borderId="0" xfId="0" applyFont="1" applyFill="1"/>
    <xf numFmtId="0" fontId="6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15" fontId="0" fillId="3" borderId="0" xfId="0" applyNumberFormat="1" applyFill="1"/>
    <xf numFmtId="17" fontId="0" fillId="0" borderId="0" xfId="0" applyNumberFormat="1"/>
    <xf numFmtId="0" fontId="0" fillId="3" borderId="0" xfId="0" applyFill="1"/>
    <xf numFmtId="15" fontId="11" fillId="0" borderId="0" xfId="0" applyNumberFormat="1" applyFont="1"/>
    <xf numFmtId="0" fontId="12" fillId="0" borderId="0" xfId="0" applyFont="1"/>
    <xf numFmtId="0" fontId="5" fillId="3" borderId="0" xfId="0" applyFont="1" applyFill="1"/>
    <xf numFmtId="0" fontId="11" fillId="0" borderId="0" xfId="0" applyFont="1"/>
    <xf numFmtId="15" fontId="0" fillId="4" borderId="0" xfId="0" applyNumberFormat="1" applyFill="1"/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 A, Niranjana Datta" id="{DCE0C7D3-8A82-4619-B97D-EE50DA7FBDD7}" userId="S::ndatta@hpe.com::2c296c5e-9387-438c-8786-b47bbd1bad0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2" dT="2021-03-06T09:12:17.04" personId="{DCE0C7D3-8A82-4619-B97D-EE50DA7FBDD7}" id="{487D3D49-AE6B-453F-8488-7CC729399024}">
    <text>dryfruits</text>
  </threadedComment>
  <threadedComment ref="H53" dT="2021-03-07T18:38:30.76" personId="{DCE0C7D3-8A82-4619-B97D-EE50DA7FBDD7}" id="{585C58BD-4472-4BB3-B3AE-482B0D0D7C54}">
    <text>sriRamappa</text>
  </threadedComment>
  <threadedComment ref="L70" dT="2021-03-24T17:44:30.41" personId="{DCE0C7D3-8A82-4619-B97D-EE50DA7FBDD7}" id="{9071A390-852A-4C52-82E1-A6304F19205C}">
    <text>sajal kapoor</text>
  </threadedComment>
  <threadedComment ref="O72" dT="2021-04-14T06:19:43.76" personId="{DCE0C7D3-8A82-4619-B97D-EE50DA7FBDD7}" id="{CA66623D-A239-4975-ACEB-27CCC32D2601}">
    <text>Subbu's funeral</text>
  </threadedComment>
  <threadedComment ref="Q126" dT="2021-08-29T12:35:32.26" personId="{DCE0C7D3-8A82-4619-B97D-EE50DA7FBDD7}" id="{18BA0808-59A2-404B-940C-57DEB9B78647}">
    <text>6th school fees</text>
  </threadedComment>
  <threadedComment ref="AD126" dT="2021-08-18T16:00:09.27" personId="{DCE0C7D3-8A82-4619-B97D-EE50DA7FBDD7}" id="{67DB350A-01B2-4528-BFAD-73BAEDDD9D8D}">
    <text>SchoolBooks</text>
  </threadedComment>
  <threadedComment ref="D133" dT="2021-08-04T05:09:31.99" personId="{DCE0C7D3-8A82-4619-B97D-EE50DA7FBDD7}" id="{367720DD-886A-4831-BFE6-599FF5A568C0}">
    <text>bellulli</text>
  </threadedComment>
  <threadedComment ref="W145" dT="2021-08-23T13:35:22.23" personId="{DCE0C7D3-8A82-4619-B97D-EE50DA7FBDD7}" id="{5D39A86E-0028-4C8D-B2F7-D667CB05813E}">
    <text>incometax</text>
  </threadedComment>
  <threadedComment ref="AF146" dT="2021-09-01T03:57:33.22" personId="{DCE0C7D3-8A82-4619-B97D-EE50DA7FBDD7}" id="{8D79D520-8E92-4186-BE8F-D5700716B2AD}">
    <text>dress</text>
  </threadedComment>
  <threadedComment ref="D147" dT="2021-08-09T04:17:30.26" personId="{DCE0C7D3-8A82-4619-B97D-EE50DA7FBDD7}" id="{CAF2C4ED-9C63-4772-B5B5-A71372CFBFDF}">
    <text>tubelight50
mixiejar150
washing machine knob50</text>
  </threadedComment>
  <threadedComment ref="E147" dT="2021-08-04T05:09:41.27" personId="{DCE0C7D3-8A82-4619-B97D-EE50DA7FBDD7}" id="{7C1A3F6F-59CF-46BE-8109-6F90D1F44567}">
    <text>raagi machine</text>
  </threadedComment>
  <threadedComment ref="Z165" dT="2021-09-30T09:07:13.70" personId="{DCE0C7D3-8A82-4619-B97D-EE50DA7FBDD7}" id="{D978DA63-E6D8-434D-B8B2-4C21D9F40B8F}">
    <text>maxiflo</text>
  </threadedComment>
  <threadedComment ref="W166" dT="2021-09-23T05:18:44.58" personId="{DCE0C7D3-8A82-4619-B97D-EE50DA7FBDD7}" id="{C9ADB7B4-78ED-4D17-8B6B-ED622CF62E1C}">
    <text>for dance</text>
  </threadedComment>
  <threadedComment ref="F187" dT="2021-10-18T07:03:30.03" personId="{DCE0C7D3-8A82-4619-B97D-EE50DA7FBDD7}" id="{B49D6BEC-054A-4E73-8E19-152A1518C18D}">
    <text>tablets</text>
  </threadedComment>
  <threadedComment ref="G187" dT="2021-10-18T07:03:19.62" personId="{DCE0C7D3-8A82-4619-B97D-EE50DA7FBDD7}" id="{E1846177-25D0-429A-B7CE-CBC43B7DF247}">
    <text>Medical insurance copay</text>
  </threadedComment>
  <threadedComment ref="G189" dT="2021-10-06T17:12:50.89" personId="{DCE0C7D3-8A82-4619-B97D-EE50DA7FBDD7}" id="{2E7B23E1-623E-44C8-A6EB-278B33E1B19A}">
    <text>car service</text>
  </threadedComment>
  <threadedComment ref="D206" dT="2021-11-07T05:43:49.20" personId="{DCE0C7D3-8A82-4619-B97D-EE50DA7FBDD7}" id="{AABC706E-C1E8-49C0-8D0E-C2CECF388AA0}">
    <text>Pataki</text>
  </threadedComment>
  <threadedComment ref="X224" dT="2022-03-11T06:50:03.31" personId="{DCE0C7D3-8A82-4619-B97D-EE50DA7FBDD7}" id="{6689A279-2762-4B60-8E15-4B4BE4FBE4CC}">
    <text>victor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77" dT="2022-04-03T10:30:22.82" personId="{DCE0C7D3-8A82-4619-B97D-EE50DA7FBDD7}" id="{9AAA0908-8B65-4753-8A20-BECA727385D0}">
    <text>Swimming</text>
  </threadedComment>
  <threadedComment ref="AD81" dT="2022-04-03T10:30:32.50" personId="{DCE0C7D3-8A82-4619-B97D-EE50DA7FBDD7}" id="{58A2C304-1828-4880-9F0D-3D87ED9FCBDD}">
    <text>PropertyTax</text>
  </threadedComment>
  <threadedComment ref="AD101" dT="2022-12-29T14:32:30.29" personId="{DCE0C7D3-8A82-4619-B97D-EE50DA7FBDD7}" id="{6529B664-B1F9-40B7-A543-34D772804248}">
    <text>new Chamber connection by vishnu</text>
  </threadedComment>
  <threadedComment ref="Z180" dT="2022-09-26T03:25:27.19" personId="{DCE0C7D3-8A82-4619-B97D-EE50DA7FBDD7}" id="{9472E318-08AB-45D9-8C7F-007ADFB113A0}">
    <text>500/30/90/75/20</text>
  </threadedComment>
  <threadedComment ref="AC237" dT="2022-12-30T14:12:09.34" personId="{DCE0C7D3-8A82-4619-B97D-EE50DA7FBDD7}" id="{3A024D60-695D-4C93-B379-EB21505A64ED}">
    <text>gin party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80" dT="2024-04-04T03:54:23.90" personId="{DCE0C7D3-8A82-4619-B97D-EE50DA7FBDD7}" id="{6219F27F-33A3-4C74-BBE2-5B0AF980C1EC}">
    <text>Dress for ugadi</text>
  </threadedComment>
  <threadedComment ref="E80" dT="2024-04-04T03:52:40.21" personId="{DCE0C7D3-8A82-4619-B97D-EE50DA7FBDD7}" id="{1EEBED9D-C9C4-4756-9317-F0561492F2B5}">
    <text>Maths tutuion Fees</text>
  </threadedComment>
  <threadedComment ref="C81" dT="2024-04-04T03:54:52.86" personId="{DCE0C7D3-8A82-4619-B97D-EE50DA7FBDD7}" id="{58073340-7F31-4E2D-B0EF-51715B1CE58B}">
    <text>Dress for ugadi</text>
  </threadedComment>
  <threadedComment ref="B82" dT="2024-04-04T03:52:57.22" personId="{DCE0C7D3-8A82-4619-B97D-EE50DA7FBDD7}" id="{ADF92F4B-E7BA-4F48-8217-87288532FBED}">
    <text>Car insurance</text>
  </threadedComment>
  <threadedComment ref="F139" dT="2024-07-18T14:43:00.26" personId="{DCE0C7D3-8A82-4619-B97D-EE50DA7FBDD7}" id="{680F38BC-BC0B-45FB-8774-7F1C2BEE4C98}">
    <text>tax</text>
  </threadedComment>
  <threadedComment ref="C141" dT="2024-08-08T06:47:04.17" personId="{DCE0C7D3-8A82-4619-B97D-EE50DA7FBDD7}" id="{CB14C3E5-3DF8-44B1-BC40-635C68A5E73A}">
    <text>jio</text>
  </threadedComment>
  <threadedComment ref="AB142" dT="2024-07-29T14:18:10.18" personId="{DCE0C7D3-8A82-4619-B97D-EE50DA7FBDD7}" id="{623D219E-4AAB-48FC-B40A-580B42A96E10}">
    <text>Car service</text>
  </threadedComment>
  <threadedComment ref="T143" dT="2024-07-29T14:18:23.25" personId="{DCE0C7D3-8A82-4619-B97D-EE50DA7FBDD7}" id="{76EBB15E-607D-4102-B05C-5BDD2F1F840B}">
    <text>PropetyTax</text>
  </threadedComment>
  <threadedComment ref="B213" dT="2024-11-01T14:08:21.61" personId="{DCE0C7D3-8A82-4619-B97D-EE50DA7FBDD7}" id="{DBDA3383-49C6-4F83-9E61-813E9A90D8BF}">
    <text>9008723201</text>
  </threadedComment>
  <threadedComment ref="M220" dT="2024-11-19T17:06:46.56" personId="{DCE0C7D3-8A82-4619-B97D-EE50DA7FBDD7}" id="{04F72752-60DD-4615-B7DE-61ED2E5DCADE}">
    <text>Dad’s thithi</text>
  </threadedComment>
  <threadedComment ref="E241" dT="2024-12-05T10:03:53.06" personId="{DCE0C7D3-8A82-4619-B97D-EE50DA7FBDD7}" id="{A7FEB92C-6129-40D1-A526-94823CD1E392}">
    <text>chillar</text>
  </threadedComment>
  <threadedComment ref="F241" dT="2024-12-05T10:04:57.37" personId="{DCE0C7D3-8A82-4619-B97D-EE50DA7FBDD7}" id="{E24176EF-30D0-4261-8FEE-64DD5967E77A}">
    <text>Mixie</text>
  </threadedComment>
  <threadedComment ref="I241" dT="2024-12-08T06:52:43.17" personId="{DCE0C7D3-8A82-4619-B97D-EE50DA7FBDD7}" id="{6E3A0F33-1E52-43FA-8CB9-E52E584A5ADC}">
    <text>grocery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6" dT="2025-02-19T13:19:16.60" personId="{DCE0C7D3-8A82-4619-B97D-EE50DA7FBDD7}" id="{E84F40EF-9930-4D31-BED1-F395ED023ABD}">
    <text>kaushal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48"/>
  <sheetViews>
    <sheetView topLeftCell="A223" zoomScaleNormal="100" workbookViewId="0">
      <selection activeCell="AH16" sqref="AH16:AH228"/>
    </sheetView>
  </sheetViews>
  <sheetFormatPr defaultRowHeight="14.4" x14ac:dyDescent="0.3"/>
  <cols>
    <col min="1" max="1" width="10.44140625" bestFit="1" customWidth="1"/>
    <col min="2" max="6" width="9.21875" bestFit="1" customWidth="1"/>
    <col min="7" max="7" width="8.6640625" bestFit="1" customWidth="1"/>
    <col min="8" max="8" width="9.44140625" bestFit="1" customWidth="1"/>
    <col min="9" max="9" width="9.21875" bestFit="1" customWidth="1"/>
    <col min="10" max="10" width="8.6640625" bestFit="1" customWidth="1"/>
    <col min="11" max="32" width="9.6640625" bestFit="1" customWidth="1"/>
  </cols>
  <sheetData>
    <row r="1" spans="1:35" x14ac:dyDescent="0.3">
      <c r="B1" s="1">
        <v>44197</v>
      </c>
      <c r="C1" s="1">
        <v>44198</v>
      </c>
      <c r="D1" s="1">
        <v>44199</v>
      </c>
      <c r="E1" s="1">
        <v>44200</v>
      </c>
      <c r="F1" s="1">
        <v>44201</v>
      </c>
      <c r="G1" s="1">
        <v>44202</v>
      </c>
      <c r="H1" s="1">
        <v>44203</v>
      </c>
      <c r="I1" s="1">
        <v>44204</v>
      </c>
      <c r="J1" s="1">
        <v>44205</v>
      </c>
      <c r="K1" s="1">
        <v>44206</v>
      </c>
      <c r="L1" s="1">
        <v>44207</v>
      </c>
      <c r="M1" s="1">
        <v>44208</v>
      </c>
      <c r="N1" s="1">
        <v>44209</v>
      </c>
      <c r="O1" s="1">
        <v>44210</v>
      </c>
      <c r="P1" s="1">
        <v>44211</v>
      </c>
      <c r="Q1" s="1">
        <v>44212</v>
      </c>
      <c r="R1" s="1">
        <v>44213</v>
      </c>
      <c r="S1" s="1">
        <v>44214</v>
      </c>
      <c r="T1" s="1">
        <v>44215</v>
      </c>
      <c r="U1" s="1">
        <v>44216</v>
      </c>
      <c r="V1" s="1">
        <v>44217</v>
      </c>
      <c r="W1" s="1">
        <v>44218</v>
      </c>
      <c r="X1" s="1">
        <v>44219</v>
      </c>
      <c r="Y1" s="1">
        <v>44220</v>
      </c>
      <c r="Z1" s="1">
        <v>44221</v>
      </c>
      <c r="AA1" s="1">
        <v>44222</v>
      </c>
      <c r="AB1" s="1">
        <v>44223</v>
      </c>
      <c r="AC1" s="1">
        <v>44224</v>
      </c>
      <c r="AD1" s="1">
        <v>44225</v>
      </c>
      <c r="AE1" s="1">
        <v>44226</v>
      </c>
      <c r="AF1" s="1">
        <v>44227</v>
      </c>
    </row>
    <row r="2" spans="1:35" x14ac:dyDescent="0.3">
      <c r="A2" s="2" t="s">
        <v>5</v>
      </c>
      <c r="B2" s="4">
        <v>22</v>
      </c>
      <c r="C2">
        <v>18</v>
      </c>
      <c r="D2" s="4">
        <v>22</v>
      </c>
      <c r="E2">
        <v>22</v>
      </c>
      <c r="F2">
        <v>22</v>
      </c>
      <c r="G2" s="4">
        <v>22</v>
      </c>
      <c r="H2" s="4">
        <v>22</v>
      </c>
      <c r="I2" s="4">
        <v>29</v>
      </c>
      <c r="J2" s="4">
        <v>22</v>
      </c>
      <c r="K2" s="4">
        <v>22</v>
      </c>
      <c r="L2" s="4">
        <v>19</v>
      </c>
      <c r="M2" s="4">
        <v>22</v>
      </c>
      <c r="N2" s="4">
        <v>22</v>
      </c>
      <c r="O2" s="4">
        <v>32</v>
      </c>
      <c r="P2" s="4">
        <v>0</v>
      </c>
      <c r="Q2" s="4">
        <v>0</v>
      </c>
      <c r="R2" s="4">
        <v>22</v>
      </c>
      <c r="S2" s="4">
        <v>22</v>
      </c>
      <c r="T2" s="4">
        <v>22</v>
      </c>
      <c r="U2" s="4">
        <v>22</v>
      </c>
      <c r="V2" s="4">
        <v>22</v>
      </c>
      <c r="W2" s="4">
        <v>22</v>
      </c>
      <c r="X2" s="4">
        <v>32</v>
      </c>
      <c r="Y2" s="4">
        <v>22</v>
      </c>
      <c r="Z2" s="4">
        <v>22</v>
      </c>
      <c r="AA2" s="4">
        <v>22</v>
      </c>
      <c r="AB2" s="4">
        <v>22</v>
      </c>
      <c r="AC2" s="4">
        <v>22</v>
      </c>
      <c r="AD2" s="4">
        <v>22</v>
      </c>
      <c r="AE2" s="4">
        <v>22</v>
      </c>
      <c r="AF2" s="4">
        <v>22</v>
      </c>
      <c r="AH2">
        <f>SUM(B2:AF2)</f>
        <v>658</v>
      </c>
      <c r="AI2" s="2"/>
    </row>
    <row r="3" spans="1:35" x14ac:dyDescent="0.3">
      <c r="A3" t="s">
        <v>14</v>
      </c>
      <c r="B3">
        <v>0</v>
      </c>
      <c r="C3">
        <v>0</v>
      </c>
      <c r="D3">
        <v>6</v>
      </c>
      <c r="E3">
        <v>0</v>
      </c>
      <c r="F3">
        <v>20</v>
      </c>
      <c r="G3">
        <v>0</v>
      </c>
      <c r="H3">
        <v>0</v>
      </c>
      <c r="I3">
        <v>0</v>
      </c>
      <c r="J3">
        <v>0</v>
      </c>
      <c r="K3">
        <v>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5</v>
      </c>
      <c r="V3">
        <v>5</v>
      </c>
      <c r="W3">
        <v>6</v>
      </c>
      <c r="X3">
        <v>5</v>
      </c>
      <c r="Y3">
        <v>6</v>
      </c>
      <c r="Z3">
        <v>0</v>
      </c>
      <c r="AA3">
        <v>26</v>
      </c>
      <c r="AB3">
        <v>5</v>
      </c>
      <c r="AC3">
        <v>5</v>
      </c>
      <c r="AD3">
        <v>0</v>
      </c>
      <c r="AE3">
        <v>5</v>
      </c>
      <c r="AF3">
        <v>6</v>
      </c>
      <c r="AH3">
        <f t="shared" ref="AH3:AH17" si="0">SUM(B3:AF3)</f>
        <v>106</v>
      </c>
    </row>
    <row r="4" spans="1:35" x14ac:dyDescent="0.3">
      <c r="A4" s="2" t="s">
        <v>0</v>
      </c>
      <c r="N4">
        <v>200</v>
      </c>
      <c r="X4">
        <v>150</v>
      </c>
      <c r="AD4" s="5">
        <v>100</v>
      </c>
      <c r="AE4">
        <v>100</v>
      </c>
      <c r="AH4">
        <f t="shared" si="0"/>
        <v>550</v>
      </c>
      <c r="AI4" s="2"/>
    </row>
    <row r="5" spans="1:35" x14ac:dyDescent="0.3">
      <c r="A5" s="2" t="s">
        <v>16</v>
      </c>
      <c r="C5">
        <v>100</v>
      </c>
      <c r="D5">
        <v>10</v>
      </c>
      <c r="F5">
        <v>13</v>
      </c>
      <c r="J5">
        <v>255</v>
      </c>
      <c r="N5">
        <v>58</v>
      </c>
      <c r="Q5">
        <v>20</v>
      </c>
      <c r="V5">
        <v>42</v>
      </c>
      <c r="X5">
        <v>60</v>
      </c>
      <c r="Z5">
        <v>143</v>
      </c>
      <c r="AB5">
        <v>19</v>
      </c>
      <c r="AE5" s="4">
        <v>4</v>
      </c>
      <c r="AF5">
        <v>160</v>
      </c>
      <c r="AH5">
        <f t="shared" si="0"/>
        <v>884</v>
      </c>
      <c r="AI5" s="2"/>
    </row>
    <row r="6" spans="1:35" x14ac:dyDescent="0.3">
      <c r="A6" s="2" t="s">
        <v>18</v>
      </c>
      <c r="I6" s="4">
        <v>604</v>
      </c>
      <c r="S6">
        <v>170</v>
      </c>
      <c r="T6" s="4">
        <v>51</v>
      </c>
      <c r="U6" s="4">
        <v>469</v>
      </c>
      <c r="W6">
        <v>40</v>
      </c>
      <c r="X6">
        <v>1695</v>
      </c>
      <c r="AC6" s="4">
        <v>65</v>
      </c>
      <c r="AD6" s="4">
        <v>133</v>
      </c>
      <c r="AE6">
        <v>188</v>
      </c>
      <c r="AF6">
        <v>50</v>
      </c>
      <c r="AH6">
        <f t="shared" si="0"/>
        <v>3465</v>
      </c>
      <c r="AI6" s="2"/>
    </row>
    <row r="7" spans="1:35" x14ac:dyDescent="0.3">
      <c r="A7" s="2" t="s">
        <v>2</v>
      </c>
      <c r="D7">
        <v>70</v>
      </c>
      <c r="F7">
        <v>135</v>
      </c>
      <c r="J7">
        <v>20</v>
      </c>
      <c r="M7">
        <v>89</v>
      </c>
      <c r="Q7">
        <v>30</v>
      </c>
      <c r="V7">
        <v>32</v>
      </c>
      <c r="X7">
        <v>80</v>
      </c>
      <c r="Z7">
        <v>20</v>
      </c>
      <c r="AB7">
        <v>20</v>
      </c>
      <c r="AD7">
        <v>20</v>
      </c>
      <c r="AF7">
        <v>20</v>
      </c>
      <c r="AH7">
        <f t="shared" si="0"/>
        <v>536</v>
      </c>
      <c r="AI7" s="2"/>
    </row>
    <row r="8" spans="1:35" x14ac:dyDescent="0.3">
      <c r="A8" s="2" t="s">
        <v>19</v>
      </c>
      <c r="D8">
        <v>30</v>
      </c>
      <c r="F8">
        <v>30</v>
      </c>
      <c r="K8">
        <v>268</v>
      </c>
      <c r="L8" s="4">
        <v>18</v>
      </c>
      <c r="N8" s="4">
        <v>38</v>
      </c>
      <c r="R8" s="4">
        <v>28</v>
      </c>
      <c r="U8">
        <v>50</v>
      </c>
      <c r="V8">
        <v>20</v>
      </c>
      <c r="W8">
        <v>96</v>
      </c>
      <c r="X8">
        <v>18</v>
      </c>
      <c r="Y8" s="4">
        <v>28</v>
      </c>
      <c r="Z8">
        <v>40</v>
      </c>
      <c r="AA8">
        <v>157</v>
      </c>
      <c r="AD8">
        <v>48</v>
      </c>
      <c r="AE8">
        <v>20</v>
      </c>
      <c r="AF8">
        <v>160</v>
      </c>
      <c r="AH8">
        <f>SUM(B8:AG8)</f>
        <v>1049</v>
      </c>
      <c r="AI8" s="2"/>
    </row>
    <row r="9" spans="1:35" x14ac:dyDescent="0.3">
      <c r="A9" s="2" t="s">
        <v>7</v>
      </c>
      <c r="K9">
        <v>40</v>
      </c>
      <c r="V9">
        <v>40</v>
      </c>
      <c r="X9">
        <v>50</v>
      </c>
      <c r="AH9">
        <f t="shared" si="0"/>
        <v>130</v>
      </c>
      <c r="AI9" s="2"/>
    </row>
    <row r="10" spans="1:35" x14ac:dyDescent="0.3">
      <c r="A10" s="2" t="s">
        <v>15</v>
      </c>
      <c r="K10">
        <v>640</v>
      </c>
      <c r="L10">
        <v>123</v>
      </c>
      <c r="M10">
        <v>186</v>
      </c>
      <c r="N10">
        <v>181</v>
      </c>
      <c r="O10">
        <v>95</v>
      </c>
      <c r="AH10">
        <f t="shared" si="0"/>
        <v>1225</v>
      </c>
      <c r="AI10" s="2"/>
    </row>
    <row r="11" spans="1:35" x14ac:dyDescent="0.3">
      <c r="A11" s="2" t="s">
        <v>13</v>
      </c>
      <c r="L11">
        <v>200</v>
      </c>
      <c r="AH11">
        <f t="shared" si="0"/>
        <v>200</v>
      </c>
      <c r="AI11" s="2"/>
    </row>
    <row r="12" spans="1:35" x14ac:dyDescent="0.3">
      <c r="A12" s="2" t="s">
        <v>9</v>
      </c>
      <c r="K12">
        <v>320</v>
      </c>
      <c r="AH12">
        <f t="shared" si="0"/>
        <v>320</v>
      </c>
      <c r="AI12" s="2"/>
    </row>
    <row r="13" spans="1:35" x14ac:dyDescent="0.3">
      <c r="A13" s="2" t="s">
        <v>17</v>
      </c>
      <c r="AD13">
        <v>471</v>
      </c>
      <c r="AH13">
        <f t="shared" si="0"/>
        <v>471</v>
      </c>
      <c r="AI13" s="2"/>
    </row>
    <row r="14" spans="1:35" x14ac:dyDescent="0.3">
      <c r="A14" s="2" t="s">
        <v>21</v>
      </c>
      <c r="J14">
        <v>10</v>
      </c>
      <c r="N14">
        <v>601</v>
      </c>
      <c r="AH14">
        <f t="shared" si="0"/>
        <v>611</v>
      </c>
      <c r="AI14" s="2"/>
    </row>
    <row r="15" spans="1:35" x14ac:dyDescent="0.3">
      <c r="A15" s="2" t="s">
        <v>20</v>
      </c>
      <c r="E15">
        <v>149</v>
      </c>
      <c r="J15">
        <v>300</v>
      </c>
      <c r="L15">
        <v>100</v>
      </c>
      <c r="U15">
        <v>150</v>
      </c>
      <c r="Y15">
        <v>110</v>
      </c>
      <c r="Z15">
        <v>50</v>
      </c>
      <c r="AC15">
        <v>149</v>
      </c>
      <c r="AH15">
        <f t="shared" si="0"/>
        <v>1008</v>
      </c>
      <c r="AI15" s="2"/>
    </row>
    <row r="16" spans="1:35" x14ac:dyDescent="0.3">
      <c r="A16" s="2" t="s">
        <v>12</v>
      </c>
      <c r="H16">
        <v>55</v>
      </c>
      <c r="N16">
        <v>240</v>
      </c>
      <c r="V16">
        <v>600</v>
      </c>
      <c r="Y16" s="7">
        <v>500</v>
      </c>
      <c r="AH16">
        <f t="shared" si="0"/>
        <v>1395</v>
      </c>
      <c r="AI16" s="2"/>
    </row>
    <row r="17" spans="1:35" x14ac:dyDescent="0.3">
      <c r="A17" s="2" t="s">
        <v>4</v>
      </c>
      <c r="F17">
        <v>30</v>
      </c>
      <c r="AF17">
        <v>20</v>
      </c>
      <c r="AH17">
        <f t="shared" si="0"/>
        <v>50</v>
      </c>
      <c r="AI17" s="2"/>
    </row>
    <row r="18" spans="1:35" x14ac:dyDescent="0.3">
      <c r="P18">
        <v>14900</v>
      </c>
      <c r="Q18" s="6">
        <f>SUM(B2:AF17)</f>
        <v>12658</v>
      </c>
      <c r="R18">
        <f>P18-Q18</f>
        <v>2242</v>
      </c>
    </row>
    <row r="19" spans="1:35" x14ac:dyDescent="0.3">
      <c r="B19" s="1">
        <v>44228</v>
      </c>
      <c r="C19" s="1">
        <v>44229</v>
      </c>
      <c r="D19" s="1">
        <v>44230</v>
      </c>
      <c r="E19" s="1">
        <v>44231</v>
      </c>
      <c r="F19" s="1">
        <v>44232</v>
      </c>
      <c r="G19" s="1">
        <v>44233</v>
      </c>
      <c r="H19" s="1">
        <v>44234</v>
      </c>
      <c r="I19" s="1">
        <v>44235</v>
      </c>
      <c r="J19" s="1">
        <v>44236</v>
      </c>
      <c r="K19" s="1">
        <v>44237</v>
      </c>
      <c r="L19" s="1">
        <v>44238</v>
      </c>
      <c r="M19" s="1">
        <v>44239</v>
      </c>
      <c r="N19" s="1">
        <v>44240</v>
      </c>
      <c r="O19" s="1">
        <v>44241</v>
      </c>
      <c r="P19" s="1">
        <v>44242</v>
      </c>
      <c r="Q19" s="1">
        <v>44243</v>
      </c>
      <c r="R19" s="1">
        <v>44244</v>
      </c>
      <c r="S19" s="1">
        <v>44245</v>
      </c>
      <c r="T19" s="1">
        <v>44246</v>
      </c>
      <c r="U19" s="1">
        <v>44247</v>
      </c>
      <c r="V19" s="1">
        <v>44248</v>
      </c>
      <c r="W19" s="1">
        <v>44249</v>
      </c>
      <c r="X19" s="1">
        <v>44250</v>
      </c>
      <c r="Y19" s="1">
        <v>44251</v>
      </c>
      <c r="Z19" s="1">
        <v>44252</v>
      </c>
      <c r="AA19" s="1">
        <v>44253</v>
      </c>
      <c r="AB19" s="1">
        <v>44254</v>
      </c>
      <c r="AC19" s="1">
        <v>44255</v>
      </c>
    </row>
    <row r="20" spans="1:35" x14ac:dyDescent="0.3">
      <c r="A20" s="2" t="s">
        <v>5</v>
      </c>
      <c r="B20" s="4">
        <v>22</v>
      </c>
      <c r="C20" s="4">
        <v>22</v>
      </c>
      <c r="D20" s="4">
        <v>22</v>
      </c>
      <c r="E20" s="4">
        <v>22</v>
      </c>
      <c r="F20" s="4">
        <v>10</v>
      </c>
      <c r="G20" s="4">
        <v>22</v>
      </c>
      <c r="H20" s="4">
        <v>22</v>
      </c>
      <c r="I20" s="4">
        <v>38</v>
      </c>
      <c r="J20" s="4">
        <v>22</v>
      </c>
      <c r="K20" s="4">
        <v>22</v>
      </c>
      <c r="L20" s="4">
        <v>22</v>
      </c>
      <c r="M20" s="4">
        <v>29</v>
      </c>
      <c r="N20" s="4">
        <v>22</v>
      </c>
      <c r="O20" s="4">
        <v>22</v>
      </c>
      <c r="P20" s="4">
        <v>22</v>
      </c>
      <c r="Q20" s="4">
        <v>22</v>
      </c>
      <c r="R20" s="4">
        <v>0</v>
      </c>
      <c r="S20" s="4">
        <v>0</v>
      </c>
      <c r="T20" s="4">
        <v>22</v>
      </c>
      <c r="U20" s="4">
        <v>22</v>
      </c>
      <c r="V20" s="4">
        <v>22</v>
      </c>
      <c r="W20" s="4">
        <v>22</v>
      </c>
      <c r="X20" s="4">
        <v>22</v>
      </c>
      <c r="Y20" s="4">
        <v>22</v>
      </c>
      <c r="Z20" s="4">
        <v>22</v>
      </c>
      <c r="AA20" s="4">
        <v>22</v>
      </c>
      <c r="AB20" s="4">
        <v>0</v>
      </c>
      <c r="AC20" s="4">
        <v>22</v>
      </c>
      <c r="AH20">
        <f>SUM(B20:AC20)</f>
        <v>561</v>
      </c>
    </row>
    <row r="21" spans="1:35" x14ac:dyDescent="0.3">
      <c r="A21" t="s">
        <v>14</v>
      </c>
      <c r="B21">
        <v>0</v>
      </c>
      <c r="C21">
        <v>35</v>
      </c>
      <c r="D21">
        <v>5</v>
      </c>
      <c r="E21">
        <v>5</v>
      </c>
      <c r="F21">
        <v>5</v>
      </c>
      <c r="G21">
        <v>5</v>
      </c>
      <c r="H21">
        <v>6</v>
      </c>
      <c r="I21">
        <v>0</v>
      </c>
      <c r="J21">
        <v>20</v>
      </c>
      <c r="K21">
        <v>0</v>
      </c>
      <c r="L21">
        <v>0</v>
      </c>
      <c r="M21">
        <v>0</v>
      </c>
      <c r="N21">
        <v>0</v>
      </c>
      <c r="O21">
        <v>6</v>
      </c>
      <c r="P21">
        <v>0</v>
      </c>
      <c r="Q21">
        <v>20</v>
      </c>
      <c r="R21">
        <v>0</v>
      </c>
      <c r="S21">
        <v>0</v>
      </c>
      <c r="T21">
        <v>0</v>
      </c>
      <c r="U21">
        <v>5</v>
      </c>
      <c r="V21">
        <v>6</v>
      </c>
      <c r="W21">
        <v>0</v>
      </c>
      <c r="X21">
        <v>25</v>
      </c>
      <c r="Y21">
        <v>5</v>
      </c>
      <c r="Z21">
        <v>5</v>
      </c>
      <c r="AA21">
        <v>0</v>
      </c>
      <c r="AB21">
        <v>5</v>
      </c>
      <c r="AC21">
        <v>6</v>
      </c>
      <c r="AH21">
        <f t="shared" ref="AH21:AH35" si="1">SUM(B21:AC21)</f>
        <v>164</v>
      </c>
    </row>
    <row r="22" spans="1:35" x14ac:dyDescent="0.3">
      <c r="A22" s="2" t="s">
        <v>0</v>
      </c>
      <c r="H22">
        <v>102</v>
      </c>
      <c r="P22">
        <v>100</v>
      </c>
      <c r="AC22">
        <v>102</v>
      </c>
      <c r="AH22">
        <f t="shared" si="1"/>
        <v>304</v>
      </c>
    </row>
    <row r="23" spans="1:35" x14ac:dyDescent="0.3">
      <c r="A23" s="2" t="s">
        <v>16</v>
      </c>
      <c r="E23">
        <v>50</v>
      </c>
      <c r="F23">
        <v>48</v>
      </c>
      <c r="H23">
        <v>130</v>
      </c>
      <c r="X23">
        <v>20</v>
      </c>
      <c r="Y23">
        <v>150</v>
      </c>
      <c r="AB23">
        <v>20</v>
      </c>
      <c r="AH23">
        <f t="shared" si="1"/>
        <v>418</v>
      </c>
    </row>
    <row r="24" spans="1:35" x14ac:dyDescent="0.3">
      <c r="A24" s="2" t="s">
        <v>18</v>
      </c>
      <c r="D24">
        <v>10</v>
      </c>
      <c r="E24">
        <v>10</v>
      </c>
      <c r="I24" s="4">
        <v>160</v>
      </c>
      <c r="J24">
        <v>540</v>
      </c>
      <c r="N24" s="4">
        <v>429</v>
      </c>
      <c r="Y24" s="4">
        <v>169</v>
      </c>
      <c r="Z24" s="4">
        <v>28</v>
      </c>
      <c r="AB24">
        <v>102</v>
      </c>
      <c r="AC24">
        <v>5</v>
      </c>
      <c r="AH24">
        <f t="shared" si="1"/>
        <v>1453</v>
      </c>
    </row>
    <row r="25" spans="1:35" x14ac:dyDescent="0.3">
      <c r="A25" s="2" t="s">
        <v>2</v>
      </c>
      <c r="B25">
        <v>100</v>
      </c>
      <c r="E25">
        <v>20</v>
      </c>
      <c r="H25">
        <v>130</v>
      </c>
      <c r="N25">
        <v>177</v>
      </c>
      <c r="Y25">
        <v>24</v>
      </c>
      <c r="Z25">
        <v>45</v>
      </c>
      <c r="AB25">
        <v>54</v>
      </c>
      <c r="AC25">
        <v>100</v>
      </c>
      <c r="AH25">
        <f t="shared" si="1"/>
        <v>650</v>
      </c>
    </row>
    <row r="26" spans="1:35" x14ac:dyDescent="0.3">
      <c r="A26" s="2" t="s">
        <v>19</v>
      </c>
      <c r="D26">
        <v>30</v>
      </c>
      <c r="E26">
        <v>30</v>
      </c>
      <c r="G26" s="4">
        <v>55</v>
      </c>
      <c r="H26">
        <v>30</v>
      </c>
      <c r="N26">
        <v>55</v>
      </c>
      <c r="U26" s="4">
        <v>60</v>
      </c>
      <c r="V26">
        <v>20</v>
      </c>
      <c r="X26">
        <v>30</v>
      </c>
      <c r="AH26">
        <f t="shared" si="1"/>
        <v>310</v>
      </c>
    </row>
    <row r="27" spans="1:35" x14ac:dyDescent="0.3">
      <c r="A27" s="2" t="s">
        <v>7</v>
      </c>
      <c r="E27">
        <v>20</v>
      </c>
      <c r="H27">
        <v>40</v>
      </c>
      <c r="AH27">
        <f t="shared" si="1"/>
        <v>60</v>
      </c>
    </row>
    <row r="28" spans="1:35" x14ac:dyDescent="0.3">
      <c r="A28" s="2" t="s">
        <v>15</v>
      </c>
      <c r="K28">
        <v>126</v>
      </c>
      <c r="L28">
        <v>110</v>
      </c>
      <c r="M28">
        <v>194</v>
      </c>
      <c r="N28">
        <v>233</v>
      </c>
      <c r="O28">
        <v>663</v>
      </c>
      <c r="AH28">
        <f t="shared" si="1"/>
        <v>1326</v>
      </c>
    </row>
    <row r="29" spans="1:35" x14ac:dyDescent="0.3">
      <c r="A29" s="2" t="s">
        <v>13</v>
      </c>
      <c r="K29">
        <v>200</v>
      </c>
      <c r="AH29">
        <f t="shared" si="1"/>
        <v>200</v>
      </c>
    </row>
    <row r="30" spans="1:35" x14ac:dyDescent="0.3">
      <c r="A30" s="2" t="s">
        <v>9</v>
      </c>
      <c r="I30">
        <v>320</v>
      </c>
      <c r="AH30">
        <f t="shared" si="1"/>
        <v>320</v>
      </c>
    </row>
    <row r="31" spans="1:35" x14ac:dyDescent="0.3">
      <c r="A31" s="2" t="s">
        <v>17</v>
      </c>
      <c r="AC31">
        <v>471</v>
      </c>
      <c r="AH31">
        <f t="shared" si="1"/>
        <v>471</v>
      </c>
    </row>
    <row r="32" spans="1:35" x14ac:dyDescent="0.3">
      <c r="A32" s="2" t="s">
        <v>3</v>
      </c>
      <c r="H32">
        <v>20</v>
      </c>
      <c r="Q32">
        <v>50</v>
      </c>
      <c r="AA32">
        <v>100</v>
      </c>
      <c r="AH32">
        <f t="shared" si="1"/>
        <v>170</v>
      </c>
    </row>
    <row r="33" spans="1:35" x14ac:dyDescent="0.3">
      <c r="A33" s="2" t="s">
        <v>20</v>
      </c>
      <c r="H33">
        <v>95</v>
      </c>
      <c r="N33">
        <v>320</v>
      </c>
      <c r="R33">
        <v>5</v>
      </c>
      <c r="W33">
        <v>149</v>
      </c>
      <c r="X33">
        <v>800</v>
      </c>
      <c r="AH33">
        <f t="shared" si="1"/>
        <v>1369</v>
      </c>
    </row>
    <row r="34" spans="1:35" x14ac:dyDescent="0.3">
      <c r="A34" s="2" t="s">
        <v>12</v>
      </c>
      <c r="B34">
        <v>60</v>
      </c>
      <c r="H34">
        <v>3083</v>
      </c>
      <c r="I34" s="4">
        <v>773</v>
      </c>
      <c r="M34">
        <v>133</v>
      </c>
      <c r="N34">
        <v>320</v>
      </c>
      <c r="P34">
        <v>10</v>
      </c>
      <c r="S34">
        <v>600</v>
      </c>
      <c r="Y34">
        <v>500</v>
      </c>
      <c r="AH34">
        <f t="shared" si="1"/>
        <v>5479</v>
      </c>
    </row>
    <row r="35" spans="1:35" x14ac:dyDescent="0.3">
      <c r="A35" s="2" t="s">
        <v>4</v>
      </c>
      <c r="I35">
        <v>30</v>
      </c>
      <c r="K35">
        <v>100</v>
      </c>
      <c r="R35">
        <v>12</v>
      </c>
      <c r="AH35">
        <f t="shared" si="1"/>
        <v>142</v>
      </c>
    </row>
    <row r="36" spans="1:35" x14ac:dyDescent="0.3">
      <c r="P36">
        <v>16000</v>
      </c>
      <c r="Q36" s="6">
        <f>SUM(B20:AC35)</f>
        <v>13397</v>
      </c>
      <c r="R36">
        <f>P36-Q36</f>
        <v>2603</v>
      </c>
    </row>
    <row r="37" spans="1:35" x14ac:dyDescent="0.3">
      <c r="B37" s="1">
        <v>44256</v>
      </c>
      <c r="C37" s="1">
        <v>44257</v>
      </c>
      <c r="D37" s="1">
        <v>44258</v>
      </c>
      <c r="E37" s="1">
        <v>44259</v>
      </c>
      <c r="F37" s="1">
        <v>44260</v>
      </c>
      <c r="G37" s="1">
        <v>44261</v>
      </c>
      <c r="H37" s="1">
        <v>44262</v>
      </c>
      <c r="I37" s="1">
        <v>44263</v>
      </c>
      <c r="J37" s="1">
        <v>44264</v>
      </c>
      <c r="K37" s="1">
        <v>44265</v>
      </c>
      <c r="L37" s="1">
        <v>44266</v>
      </c>
      <c r="M37" s="1">
        <v>44267</v>
      </c>
      <c r="N37" s="1">
        <v>44268</v>
      </c>
      <c r="O37" s="1">
        <v>44269</v>
      </c>
      <c r="P37" s="1">
        <v>44270</v>
      </c>
      <c r="Q37" s="1">
        <v>44271</v>
      </c>
      <c r="R37" s="1">
        <v>44272</v>
      </c>
      <c r="S37" s="1">
        <v>44273</v>
      </c>
      <c r="T37" s="1">
        <v>44274</v>
      </c>
      <c r="U37" s="1">
        <v>44275</v>
      </c>
      <c r="V37" s="1">
        <v>44276</v>
      </c>
      <c r="W37" s="1">
        <v>44277</v>
      </c>
      <c r="X37" s="1">
        <v>44278</v>
      </c>
      <c r="Y37" s="1">
        <v>44279</v>
      </c>
      <c r="Z37" s="1">
        <v>44280</v>
      </c>
      <c r="AA37" s="1">
        <v>44281</v>
      </c>
      <c r="AB37" s="1">
        <v>44282</v>
      </c>
      <c r="AC37" s="1">
        <v>44283</v>
      </c>
      <c r="AD37" s="1">
        <v>44284</v>
      </c>
      <c r="AE37" s="1">
        <v>44285</v>
      </c>
      <c r="AF37" s="1">
        <v>44286</v>
      </c>
    </row>
    <row r="38" spans="1:35" x14ac:dyDescent="0.3">
      <c r="A38" s="2" t="s">
        <v>5</v>
      </c>
      <c r="B38" s="4">
        <v>22</v>
      </c>
      <c r="C38" s="4">
        <v>22</v>
      </c>
      <c r="D38" s="4">
        <v>22</v>
      </c>
      <c r="E38" s="4">
        <v>22</v>
      </c>
      <c r="F38" s="4">
        <v>44</v>
      </c>
      <c r="G38" s="4">
        <v>22</v>
      </c>
      <c r="H38" s="4">
        <v>22</v>
      </c>
      <c r="I38" s="4">
        <v>22</v>
      </c>
      <c r="J38" s="4">
        <v>22</v>
      </c>
      <c r="K38" s="4">
        <v>22</v>
      </c>
      <c r="L38" s="4">
        <v>22</v>
      </c>
      <c r="M38" s="4">
        <v>10</v>
      </c>
      <c r="N38" s="4">
        <v>22</v>
      </c>
      <c r="O38" s="4">
        <v>44</v>
      </c>
      <c r="P38" s="4">
        <v>22</v>
      </c>
      <c r="Q38" s="4">
        <v>22</v>
      </c>
      <c r="R38" s="4">
        <v>22</v>
      </c>
      <c r="S38" s="4">
        <v>22</v>
      </c>
      <c r="T38" s="4">
        <v>22</v>
      </c>
      <c r="U38" s="4">
        <v>22</v>
      </c>
      <c r="V38" s="4">
        <v>32</v>
      </c>
      <c r="W38" s="4">
        <v>22</v>
      </c>
      <c r="X38" s="4">
        <v>44</v>
      </c>
      <c r="Y38" s="4">
        <v>22</v>
      </c>
      <c r="Z38" s="4">
        <v>38</v>
      </c>
      <c r="AA38" s="4">
        <v>22</v>
      </c>
      <c r="AB38" s="4">
        <v>22</v>
      </c>
      <c r="AC38" s="4">
        <v>22</v>
      </c>
      <c r="AD38" s="4">
        <v>22</v>
      </c>
      <c r="AE38" s="4">
        <v>44</v>
      </c>
      <c r="AF38" s="4">
        <v>0</v>
      </c>
      <c r="AH38">
        <f>SUM(B38:AF38)</f>
        <v>762</v>
      </c>
      <c r="AI38" s="2"/>
    </row>
    <row r="39" spans="1:35" x14ac:dyDescent="0.3">
      <c r="A39" t="s">
        <v>14</v>
      </c>
      <c r="B39">
        <v>0</v>
      </c>
      <c r="C39">
        <v>0</v>
      </c>
      <c r="D39">
        <v>20</v>
      </c>
      <c r="E39">
        <v>0</v>
      </c>
      <c r="F39">
        <v>0</v>
      </c>
      <c r="G39">
        <v>5</v>
      </c>
      <c r="H39">
        <v>6</v>
      </c>
      <c r="I39">
        <v>0</v>
      </c>
      <c r="J39">
        <v>20</v>
      </c>
      <c r="K39">
        <v>0</v>
      </c>
      <c r="L39">
        <v>0</v>
      </c>
      <c r="M39">
        <v>5</v>
      </c>
      <c r="N39">
        <v>5</v>
      </c>
      <c r="O39">
        <v>6</v>
      </c>
      <c r="P39">
        <v>0</v>
      </c>
      <c r="Q39">
        <v>20</v>
      </c>
      <c r="R39">
        <v>0</v>
      </c>
      <c r="S39">
        <v>0</v>
      </c>
      <c r="T39">
        <v>0</v>
      </c>
      <c r="U39">
        <v>5</v>
      </c>
      <c r="V39">
        <v>6</v>
      </c>
      <c r="W39">
        <v>0</v>
      </c>
      <c r="X39">
        <v>20</v>
      </c>
      <c r="Y39">
        <v>0</v>
      </c>
      <c r="Z39">
        <v>0</v>
      </c>
      <c r="AA39">
        <v>0</v>
      </c>
      <c r="AB39">
        <v>5</v>
      </c>
      <c r="AC39">
        <v>6</v>
      </c>
      <c r="AD39">
        <v>0</v>
      </c>
      <c r="AE39">
        <v>20</v>
      </c>
      <c r="AF39">
        <v>0</v>
      </c>
      <c r="AH39">
        <f t="shared" ref="AH39:AH53" si="2">SUM(B39:AF39)</f>
        <v>149</v>
      </c>
    </row>
    <row r="40" spans="1:35" x14ac:dyDescent="0.3">
      <c r="A40" s="2" t="s">
        <v>0</v>
      </c>
      <c r="H40">
        <v>102</v>
      </c>
      <c r="L40" s="5">
        <v>102</v>
      </c>
      <c r="O40">
        <v>102</v>
      </c>
      <c r="V40">
        <v>102</v>
      </c>
      <c r="AA40" s="5">
        <v>102</v>
      </c>
      <c r="AD40">
        <v>102</v>
      </c>
      <c r="AH40">
        <f t="shared" si="2"/>
        <v>612</v>
      </c>
      <c r="AI40" s="2"/>
    </row>
    <row r="41" spans="1:35" x14ac:dyDescent="0.3">
      <c r="A41" s="2" t="s">
        <v>16</v>
      </c>
      <c r="B41">
        <v>50</v>
      </c>
      <c r="E41">
        <v>25</v>
      </c>
      <c r="F41">
        <v>42</v>
      </c>
      <c r="H41">
        <v>226</v>
      </c>
      <c r="J41">
        <v>45</v>
      </c>
      <c r="O41">
        <v>100</v>
      </c>
      <c r="P41">
        <v>40</v>
      </c>
      <c r="T41" s="4">
        <v>15</v>
      </c>
      <c r="U41">
        <v>85</v>
      </c>
      <c r="X41">
        <v>20</v>
      </c>
      <c r="Z41">
        <v>130</v>
      </c>
      <c r="AC41">
        <v>17</v>
      </c>
      <c r="AH41">
        <f t="shared" si="2"/>
        <v>795</v>
      </c>
      <c r="AI41" s="2"/>
    </row>
    <row r="42" spans="1:35" x14ac:dyDescent="0.3">
      <c r="A42" s="2" t="s">
        <v>18</v>
      </c>
      <c r="B42" s="4">
        <v>35</v>
      </c>
      <c r="C42">
        <v>235</v>
      </c>
      <c r="G42" s="4">
        <v>190</v>
      </c>
      <c r="H42">
        <v>570</v>
      </c>
      <c r="J42">
        <v>170</v>
      </c>
      <c r="K42" s="4">
        <v>305</v>
      </c>
      <c r="M42" s="4">
        <v>110</v>
      </c>
      <c r="O42" s="4">
        <v>15</v>
      </c>
      <c r="P42" s="4">
        <v>120</v>
      </c>
      <c r="Q42">
        <v>90</v>
      </c>
      <c r="T42" s="4">
        <v>139</v>
      </c>
      <c r="U42" s="4">
        <v>46</v>
      </c>
      <c r="V42">
        <v>100</v>
      </c>
      <c r="Z42" s="4">
        <v>128</v>
      </c>
      <c r="AB42">
        <v>20</v>
      </c>
      <c r="AC42">
        <v>1290</v>
      </c>
      <c r="AD42" s="4">
        <v>46</v>
      </c>
      <c r="AH42">
        <f t="shared" si="2"/>
        <v>3609</v>
      </c>
      <c r="AI42" s="2"/>
    </row>
    <row r="43" spans="1:35" x14ac:dyDescent="0.3">
      <c r="A43" s="2" t="s">
        <v>2</v>
      </c>
      <c r="B43">
        <v>50</v>
      </c>
      <c r="C43">
        <v>15</v>
      </c>
      <c r="E43">
        <v>23</v>
      </c>
      <c r="H43">
        <v>200</v>
      </c>
      <c r="L43">
        <v>26</v>
      </c>
      <c r="M43" s="4">
        <v>13</v>
      </c>
      <c r="N43">
        <v>25</v>
      </c>
      <c r="O43">
        <v>170</v>
      </c>
      <c r="R43">
        <v>26</v>
      </c>
      <c r="U43">
        <v>150</v>
      </c>
      <c r="V43">
        <v>120</v>
      </c>
      <c r="Z43">
        <v>35</v>
      </c>
      <c r="AB43">
        <v>30</v>
      </c>
      <c r="AD43">
        <v>24</v>
      </c>
      <c r="AE43">
        <v>90</v>
      </c>
      <c r="AH43">
        <f t="shared" si="2"/>
        <v>997</v>
      </c>
      <c r="AI43" s="2"/>
    </row>
    <row r="44" spans="1:35" x14ac:dyDescent="0.3">
      <c r="A44" s="2" t="s">
        <v>19</v>
      </c>
      <c r="C44">
        <v>90</v>
      </c>
      <c r="G44">
        <v>20</v>
      </c>
      <c r="J44" s="4">
        <v>90</v>
      </c>
      <c r="K44">
        <v>30</v>
      </c>
      <c r="N44" s="4">
        <v>38</v>
      </c>
      <c r="O44">
        <v>130</v>
      </c>
      <c r="P44" s="4">
        <v>54</v>
      </c>
      <c r="S44" s="4">
        <v>19</v>
      </c>
      <c r="T44" s="4">
        <v>19</v>
      </c>
      <c r="U44">
        <v>90</v>
      </c>
      <c r="Y44">
        <v>16</v>
      </c>
      <c r="AB44" s="4">
        <v>25</v>
      </c>
      <c r="AH44">
        <f t="shared" si="2"/>
        <v>621</v>
      </c>
      <c r="AI44" s="2"/>
    </row>
    <row r="45" spans="1:35" x14ac:dyDescent="0.3">
      <c r="A45" s="2" t="s">
        <v>7</v>
      </c>
      <c r="B45">
        <v>40</v>
      </c>
      <c r="M45">
        <v>10</v>
      </c>
      <c r="O45">
        <v>50</v>
      </c>
      <c r="Z45">
        <v>20</v>
      </c>
      <c r="AH45">
        <f t="shared" si="2"/>
        <v>120</v>
      </c>
      <c r="AI45" s="2"/>
    </row>
    <row r="46" spans="1:35" x14ac:dyDescent="0.3">
      <c r="A46" s="2" t="s">
        <v>15</v>
      </c>
      <c r="K46">
        <v>227</v>
      </c>
      <c r="L46">
        <v>194</v>
      </c>
      <c r="M46">
        <v>106</v>
      </c>
      <c r="N46">
        <v>117</v>
      </c>
      <c r="O46">
        <v>576</v>
      </c>
      <c r="AH46">
        <f t="shared" si="2"/>
        <v>1220</v>
      </c>
      <c r="AI46" s="2"/>
    </row>
    <row r="47" spans="1:35" x14ac:dyDescent="0.3">
      <c r="A47" s="2" t="s">
        <v>13</v>
      </c>
      <c r="K47">
        <v>200</v>
      </c>
      <c r="AH47">
        <f t="shared" si="2"/>
        <v>200</v>
      </c>
      <c r="AI47" s="2"/>
    </row>
    <row r="48" spans="1:35" x14ac:dyDescent="0.3">
      <c r="A48" s="2" t="s">
        <v>9</v>
      </c>
      <c r="I48">
        <v>320</v>
      </c>
      <c r="AH48">
        <f t="shared" si="2"/>
        <v>320</v>
      </c>
      <c r="AI48" s="2"/>
    </row>
    <row r="49" spans="1:35" x14ac:dyDescent="0.3">
      <c r="A49" s="2" t="s">
        <v>17</v>
      </c>
      <c r="AE49">
        <v>471</v>
      </c>
      <c r="AH49">
        <f t="shared" si="2"/>
        <v>471</v>
      </c>
      <c r="AI49" s="2"/>
    </row>
    <row r="50" spans="1:35" x14ac:dyDescent="0.3">
      <c r="A50" s="2" t="s">
        <v>11</v>
      </c>
      <c r="E50">
        <v>840</v>
      </c>
      <c r="AH50">
        <f t="shared" si="2"/>
        <v>840</v>
      </c>
      <c r="AI50" s="2"/>
    </row>
    <row r="51" spans="1:35" x14ac:dyDescent="0.3">
      <c r="A51" s="2" t="s">
        <v>20</v>
      </c>
      <c r="G51">
        <v>470</v>
      </c>
      <c r="M51">
        <v>100</v>
      </c>
      <c r="N51">
        <v>6</v>
      </c>
      <c r="T51">
        <v>149</v>
      </c>
      <c r="V51">
        <v>200</v>
      </c>
      <c r="X51">
        <v>40</v>
      </c>
      <c r="AD51">
        <v>85</v>
      </c>
      <c r="AE51">
        <v>90</v>
      </c>
      <c r="AF51">
        <v>120</v>
      </c>
      <c r="AH51">
        <f t="shared" si="2"/>
        <v>1260</v>
      </c>
      <c r="AI51" s="2"/>
    </row>
    <row r="52" spans="1:35" x14ac:dyDescent="0.3">
      <c r="A52" s="2" t="s">
        <v>12</v>
      </c>
      <c r="B52">
        <v>18</v>
      </c>
      <c r="G52" s="4">
        <v>124</v>
      </c>
      <c r="H52">
        <v>1070</v>
      </c>
      <c r="I52">
        <v>30</v>
      </c>
      <c r="M52">
        <v>20</v>
      </c>
      <c r="N52">
        <v>600</v>
      </c>
      <c r="O52">
        <v>20</v>
      </c>
      <c r="P52">
        <v>4</v>
      </c>
      <c r="U52">
        <v>25</v>
      </c>
      <c r="V52">
        <v>310</v>
      </c>
      <c r="AE52" s="8"/>
      <c r="AH52">
        <f t="shared" si="2"/>
        <v>2221</v>
      </c>
      <c r="AI52" s="2"/>
    </row>
    <row r="53" spans="1:35" x14ac:dyDescent="0.3">
      <c r="A53" s="2" t="s">
        <v>4</v>
      </c>
      <c r="B53">
        <v>1800</v>
      </c>
      <c r="H53">
        <v>30</v>
      </c>
      <c r="J53">
        <v>30</v>
      </c>
      <c r="L53">
        <v>20</v>
      </c>
      <c r="O53">
        <v>140</v>
      </c>
      <c r="U53">
        <v>31</v>
      </c>
      <c r="V53">
        <v>400</v>
      </c>
      <c r="AC53">
        <v>60</v>
      </c>
      <c r="AH53">
        <f t="shared" si="2"/>
        <v>2511</v>
      </c>
      <c r="AI53" s="2"/>
    </row>
    <row r="54" spans="1:35" x14ac:dyDescent="0.3">
      <c r="P54">
        <v>16000</v>
      </c>
      <c r="Q54" s="6">
        <f>SUM(B38:AF53)</f>
        <v>16708</v>
      </c>
      <c r="R54">
        <f>P54-Q54</f>
        <v>-708</v>
      </c>
    </row>
    <row r="55" spans="1:35" x14ac:dyDescent="0.3">
      <c r="B55" s="1">
        <v>44287</v>
      </c>
      <c r="C55" s="1">
        <v>44288</v>
      </c>
      <c r="D55" s="1">
        <v>44289</v>
      </c>
      <c r="E55" s="1">
        <v>44290</v>
      </c>
      <c r="F55" s="1">
        <v>44291</v>
      </c>
      <c r="G55" s="1">
        <v>44292</v>
      </c>
      <c r="H55" s="1">
        <v>44293</v>
      </c>
      <c r="I55" s="1">
        <v>44294</v>
      </c>
      <c r="J55" s="1">
        <v>44295</v>
      </c>
      <c r="K55" s="1">
        <v>44296</v>
      </c>
      <c r="L55" s="1">
        <v>44297</v>
      </c>
      <c r="M55" s="1">
        <v>44298</v>
      </c>
      <c r="N55" s="1">
        <v>44299</v>
      </c>
      <c r="O55" s="1">
        <v>44300</v>
      </c>
      <c r="P55" s="1">
        <v>44301</v>
      </c>
      <c r="Q55" s="1">
        <v>44302</v>
      </c>
      <c r="R55" s="1">
        <v>44303</v>
      </c>
      <c r="S55" s="1">
        <v>44304</v>
      </c>
      <c r="T55" s="1">
        <v>44305</v>
      </c>
      <c r="U55" s="1">
        <v>44306</v>
      </c>
      <c r="V55" s="1">
        <v>44307</v>
      </c>
      <c r="W55" s="1">
        <v>44308</v>
      </c>
      <c r="X55" s="1">
        <v>44309</v>
      </c>
      <c r="Y55" s="1">
        <v>44310</v>
      </c>
      <c r="Z55" s="1">
        <v>44311</v>
      </c>
      <c r="AA55" s="1">
        <v>44312</v>
      </c>
      <c r="AB55" s="1">
        <v>44313</v>
      </c>
      <c r="AC55" s="1">
        <v>44314</v>
      </c>
      <c r="AD55" s="1">
        <v>44315</v>
      </c>
      <c r="AE55" s="1">
        <v>44316</v>
      </c>
    </row>
    <row r="56" spans="1:35" x14ac:dyDescent="0.3">
      <c r="A56" s="2" t="s">
        <v>5</v>
      </c>
      <c r="B56" s="4">
        <v>22</v>
      </c>
      <c r="C56">
        <v>0</v>
      </c>
      <c r="D56" s="4">
        <v>22</v>
      </c>
      <c r="E56" s="4">
        <v>32</v>
      </c>
      <c r="F56" s="4">
        <v>0</v>
      </c>
      <c r="G56" s="4">
        <v>22</v>
      </c>
      <c r="H56" s="4">
        <v>22</v>
      </c>
      <c r="I56" s="4">
        <v>22</v>
      </c>
      <c r="J56" s="4">
        <v>22</v>
      </c>
      <c r="K56" s="4">
        <v>10</v>
      </c>
      <c r="L56" s="4">
        <v>19</v>
      </c>
      <c r="M56" s="4">
        <v>22</v>
      </c>
      <c r="N56" s="4">
        <v>22</v>
      </c>
      <c r="O56" s="4">
        <v>22</v>
      </c>
      <c r="P56" s="4">
        <v>22</v>
      </c>
      <c r="Q56" s="4">
        <v>22</v>
      </c>
      <c r="R56" s="4">
        <v>22</v>
      </c>
      <c r="S56" s="4">
        <v>22</v>
      </c>
      <c r="T56" s="4">
        <v>0</v>
      </c>
      <c r="U56" s="4">
        <v>22</v>
      </c>
      <c r="V56" s="4">
        <v>22</v>
      </c>
      <c r="W56" s="4">
        <v>22</v>
      </c>
      <c r="X56" s="4">
        <v>22</v>
      </c>
      <c r="Y56">
        <v>22</v>
      </c>
      <c r="Z56">
        <v>22</v>
      </c>
      <c r="AA56">
        <v>22</v>
      </c>
      <c r="AB56">
        <v>22</v>
      </c>
      <c r="AC56" s="4">
        <v>22</v>
      </c>
      <c r="AD56" s="4">
        <v>22</v>
      </c>
      <c r="AE56">
        <v>22</v>
      </c>
      <c r="AH56">
        <f>SUM(B56:AE56)</f>
        <v>589</v>
      </c>
      <c r="AI56" s="2"/>
    </row>
    <row r="57" spans="1:35" x14ac:dyDescent="0.3">
      <c r="A57" t="s">
        <v>14</v>
      </c>
      <c r="B57">
        <v>0</v>
      </c>
      <c r="C57">
        <v>0</v>
      </c>
      <c r="D57">
        <v>5</v>
      </c>
      <c r="E57">
        <v>6</v>
      </c>
      <c r="F57">
        <v>0</v>
      </c>
      <c r="G57">
        <v>20</v>
      </c>
      <c r="H57">
        <v>0</v>
      </c>
      <c r="I57">
        <v>0</v>
      </c>
      <c r="J57">
        <v>0</v>
      </c>
      <c r="K57">
        <v>5</v>
      </c>
      <c r="L57">
        <v>0</v>
      </c>
      <c r="M57">
        <v>0</v>
      </c>
      <c r="N57">
        <v>20</v>
      </c>
      <c r="O57">
        <v>0</v>
      </c>
      <c r="P57">
        <v>0</v>
      </c>
      <c r="Q57">
        <v>5</v>
      </c>
      <c r="R57">
        <v>5</v>
      </c>
      <c r="S57">
        <v>6</v>
      </c>
      <c r="T57">
        <v>0</v>
      </c>
      <c r="U57">
        <v>20</v>
      </c>
      <c r="V57">
        <v>0</v>
      </c>
      <c r="W57">
        <v>0</v>
      </c>
      <c r="X57">
        <v>0</v>
      </c>
      <c r="Y57">
        <v>6</v>
      </c>
      <c r="Z57">
        <v>6</v>
      </c>
      <c r="AA57">
        <v>0</v>
      </c>
      <c r="AB57">
        <v>20</v>
      </c>
      <c r="AC57">
        <v>0</v>
      </c>
      <c r="AD57">
        <v>0</v>
      </c>
      <c r="AE57">
        <v>5</v>
      </c>
      <c r="AH57">
        <f>SUM(B57:AE57)</f>
        <v>129</v>
      </c>
    </row>
    <row r="58" spans="1:35" x14ac:dyDescent="0.3">
      <c r="A58" s="2" t="s">
        <v>0</v>
      </c>
      <c r="E58">
        <v>102</v>
      </c>
      <c r="J58" s="9">
        <v>1000</v>
      </c>
      <c r="K58">
        <v>102</v>
      </c>
      <c r="N58" s="5">
        <v>102</v>
      </c>
      <c r="T58">
        <v>105</v>
      </c>
      <c r="Z58">
        <v>100</v>
      </c>
      <c r="AB58">
        <v>102</v>
      </c>
      <c r="AC58" s="5">
        <v>102</v>
      </c>
      <c r="AH58">
        <f>SUM(B58:AE58)</f>
        <v>1715</v>
      </c>
      <c r="AI58" s="2"/>
    </row>
    <row r="59" spans="1:35" x14ac:dyDescent="0.3">
      <c r="A59" s="2" t="s">
        <v>16</v>
      </c>
      <c r="D59">
        <v>199</v>
      </c>
      <c r="K59">
        <v>80</v>
      </c>
      <c r="L59">
        <v>200</v>
      </c>
      <c r="Q59" s="4">
        <v>29</v>
      </c>
      <c r="R59">
        <v>10</v>
      </c>
      <c r="S59">
        <v>48</v>
      </c>
      <c r="U59">
        <v>87</v>
      </c>
      <c r="W59">
        <v>107</v>
      </c>
      <c r="Z59">
        <v>49</v>
      </c>
      <c r="AD59">
        <v>85</v>
      </c>
      <c r="AH59">
        <f t="shared" ref="AH59:AH72" si="3">SUM(B59:AE59)</f>
        <v>894</v>
      </c>
      <c r="AI59" s="2"/>
    </row>
    <row r="60" spans="1:35" x14ac:dyDescent="0.3">
      <c r="A60" s="2" t="s">
        <v>18</v>
      </c>
      <c r="C60">
        <v>144</v>
      </c>
      <c r="H60" s="4">
        <v>38</v>
      </c>
      <c r="K60" s="4">
        <v>147</v>
      </c>
      <c r="L60">
        <v>110</v>
      </c>
      <c r="M60" s="4">
        <v>61</v>
      </c>
      <c r="Q60">
        <v>1158</v>
      </c>
      <c r="R60" s="4">
        <v>429</v>
      </c>
      <c r="T60">
        <v>105</v>
      </c>
      <c r="W60">
        <v>195</v>
      </c>
      <c r="AA60">
        <v>260</v>
      </c>
      <c r="AB60">
        <v>99</v>
      </c>
      <c r="AH60">
        <f t="shared" si="3"/>
        <v>2746</v>
      </c>
      <c r="AI60" s="2"/>
    </row>
    <row r="61" spans="1:35" x14ac:dyDescent="0.3">
      <c r="A61" s="2" t="s">
        <v>2</v>
      </c>
      <c r="C61">
        <v>20</v>
      </c>
      <c r="D61">
        <v>150</v>
      </c>
      <c r="G61">
        <v>20</v>
      </c>
      <c r="H61" s="4">
        <v>160</v>
      </c>
      <c r="J61">
        <v>22</v>
      </c>
      <c r="K61" s="4">
        <v>87</v>
      </c>
      <c r="M61">
        <v>356</v>
      </c>
      <c r="R61" s="4">
        <v>140</v>
      </c>
      <c r="U61">
        <v>40</v>
      </c>
      <c r="Z61">
        <v>30</v>
      </c>
      <c r="AB61">
        <v>120</v>
      </c>
      <c r="AD61">
        <v>100</v>
      </c>
      <c r="AH61">
        <f t="shared" si="3"/>
        <v>1245</v>
      </c>
      <c r="AI61" s="2"/>
    </row>
    <row r="62" spans="1:35" x14ac:dyDescent="0.3">
      <c r="A62" s="2" t="s">
        <v>19</v>
      </c>
      <c r="C62">
        <v>120</v>
      </c>
      <c r="H62" s="4">
        <v>34</v>
      </c>
      <c r="Q62">
        <v>20</v>
      </c>
      <c r="S62">
        <v>150</v>
      </c>
      <c r="X62" s="4">
        <v>35</v>
      </c>
      <c r="Y62">
        <v>50</v>
      </c>
      <c r="AA62">
        <v>30</v>
      </c>
      <c r="AB62">
        <v>15</v>
      </c>
      <c r="AC62" s="4">
        <v>20</v>
      </c>
      <c r="AD62">
        <v>95</v>
      </c>
      <c r="AE62">
        <v>75</v>
      </c>
      <c r="AH62">
        <f t="shared" si="3"/>
        <v>644</v>
      </c>
      <c r="AI62" s="2"/>
    </row>
    <row r="63" spans="1:35" x14ac:dyDescent="0.3">
      <c r="A63" s="2" t="s">
        <v>7</v>
      </c>
      <c r="B63">
        <v>20</v>
      </c>
      <c r="J63">
        <v>10</v>
      </c>
      <c r="M63">
        <v>40</v>
      </c>
      <c r="R63">
        <v>10</v>
      </c>
      <c r="T63">
        <v>20</v>
      </c>
      <c r="U63">
        <v>10</v>
      </c>
      <c r="W63">
        <v>30</v>
      </c>
      <c r="AA63">
        <v>30</v>
      </c>
      <c r="AD63">
        <v>30</v>
      </c>
      <c r="AH63">
        <f t="shared" si="3"/>
        <v>200</v>
      </c>
      <c r="AI63" s="2"/>
    </row>
    <row r="64" spans="1:35" x14ac:dyDescent="0.3">
      <c r="A64" s="2" t="s">
        <v>15</v>
      </c>
      <c r="K64">
        <v>320</v>
      </c>
      <c r="L64">
        <v>290</v>
      </c>
      <c r="M64">
        <v>148</v>
      </c>
      <c r="N64">
        <v>194</v>
      </c>
      <c r="O64">
        <v>117</v>
      </c>
      <c r="AH64">
        <f t="shared" si="3"/>
        <v>1069</v>
      </c>
      <c r="AI64" s="2"/>
    </row>
    <row r="65" spans="1:35" x14ac:dyDescent="0.3">
      <c r="A65" s="2" t="s">
        <v>13</v>
      </c>
      <c r="K65">
        <v>200</v>
      </c>
      <c r="AH65">
        <f t="shared" si="3"/>
        <v>200</v>
      </c>
      <c r="AI65" s="2"/>
    </row>
    <row r="66" spans="1:35" x14ac:dyDescent="0.3">
      <c r="A66" s="2" t="s">
        <v>9</v>
      </c>
      <c r="F66">
        <v>320</v>
      </c>
      <c r="AH66">
        <f t="shared" si="3"/>
        <v>320</v>
      </c>
      <c r="AI66" s="2"/>
    </row>
    <row r="67" spans="1:35" x14ac:dyDescent="0.3">
      <c r="A67" s="2" t="s">
        <v>17</v>
      </c>
      <c r="AD67">
        <v>471</v>
      </c>
      <c r="AH67">
        <f t="shared" si="3"/>
        <v>471</v>
      </c>
      <c r="AI67" s="2"/>
    </row>
    <row r="68" spans="1:35" x14ac:dyDescent="0.3">
      <c r="A68" s="2" t="s">
        <v>8</v>
      </c>
      <c r="R68">
        <v>80</v>
      </c>
      <c r="AH68">
        <f t="shared" si="3"/>
        <v>80</v>
      </c>
      <c r="AI68" s="2"/>
    </row>
    <row r="69" spans="1:35" x14ac:dyDescent="0.3">
      <c r="A69" s="2" t="s">
        <v>24</v>
      </c>
      <c r="C69">
        <v>50</v>
      </c>
      <c r="AH69">
        <f t="shared" si="3"/>
        <v>50</v>
      </c>
      <c r="AI69" s="2"/>
    </row>
    <row r="70" spans="1:35" x14ac:dyDescent="0.3">
      <c r="A70" s="2" t="s">
        <v>20</v>
      </c>
      <c r="E70">
        <v>30</v>
      </c>
      <c r="F70" s="4">
        <v>41</v>
      </c>
      <c r="L70">
        <v>2050</v>
      </c>
      <c r="M70">
        <v>149</v>
      </c>
      <c r="AH70">
        <f t="shared" si="3"/>
        <v>2270</v>
      </c>
      <c r="AI70" s="2"/>
    </row>
    <row r="71" spans="1:35" x14ac:dyDescent="0.3">
      <c r="A71" s="2" t="s">
        <v>12</v>
      </c>
      <c r="E71">
        <v>10</v>
      </c>
      <c r="H71">
        <v>600</v>
      </c>
      <c r="O71">
        <v>500</v>
      </c>
      <c r="R71" s="4">
        <v>178</v>
      </c>
      <c r="V71">
        <v>30</v>
      </c>
      <c r="AD71" s="3"/>
      <c r="AH71">
        <f t="shared" si="3"/>
        <v>1318</v>
      </c>
      <c r="AI71" s="2"/>
    </row>
    <row r="72" spans="1:35" x14ac:dyDescent="0.3">
      <c r="A72" s="2" t="s">
        <v>4</v>
      </c>
      <c r="C72">
        <v>20</v>
      </c>
      <c r="D72">
        <v>30</v>
      </c>
      <c r="E72">
        <v>2850</v>
      </c>
      <c r="G72">
        <v>140</v>
      </c>
      <c r="M72">
        <v>20</v>
      </c>
      <c r="O72">
        <v>100</v>
      </c>
      <c r="P72">
        <v>30</v>
      </c>
      <c r="R72" s="4">
        <v>229</v>
      </c>
      <c r="S72">
        <v>15</v>
      </c>
      <c r="Y72">
        <v>5</v>
      </c>
      <c r="AH72">
        <f t="shared" si="3"/>
        <v>3439</v>
      </c>
      <c r="AI72" s="2"/>
    </row>
    <row r="73" spans="1:35" x14ac:dyDescent="0.3">
      <c r="Q73" s="6">
        <f>SUM(B56:AE72)</f>
        <v>17379</v>
      </c>
    </row>
    <row r="74" spans="1:35" x14ac:dyDescent="0.3">
      <c r="B74" s="1">
        <v>44317</v>
      </c>
      <c r="C74" s="1">
        <v>44318</v>
      </c>
      <c r="D74" s="1">
        <v>44319</v>
      </c>
      <c r="E74" s="1">
        <v>44320</v>
      </c>
      <c r="F74" s="1">
        <v>44321</v>
      </c>
      <c r="G74" s="1">
        <v>44322</v>
      </c>
      <c r="H74" s="1">
        <v>44323</v>
      </c>
      <c r="I74" s="1">
        <v>44324</v>
      </c>
      <c r="J74" s="1">
        <v>44325</v>
      </c>
      <c r="K74" s="1">
        <v>44326</v>
      </c>
      <c r="L74" s="1">
        <v>44327</v>
      </c>
      <c r="M74" s="1">
        <v>44328</v>
      </c>
      <c r="N74" s="1">
        <v>44329</v>
      </c>
      <c r="O74" s="1">
        <v>44330</v>
      </c>
      <c r="P74" s="1">
        <v>44331</v>
      </c>
      <c r="Q74" s="1">
        <v>44332</v>
      </c>
      <c r="R74" s="1">
        <v>44333</v>
      </c>
      <c r="S74" s="1">
        <v>44334</v>
      </c>
      <c r="T74" s="1">
        <v>44335</v>
      </c>
      <c r="U74" s="1">
        <v>44336</v>
      </c>
      <c r="V74" s="1">
        <v>44337</v>
      </c>
      <c r="W74" s="1">
        <v>44338</v>
      </c>
      <c r="X74" s="1">
        <v>44339</v>
      </c>
      <c r="Y74" s="1">
        <v>44340</v>
      </c>
      <c r="Z74" s="1">
        <v>44341</v>
      </c>
      <c r="AA74" s="1">
        <v>44342</v>
      </c>
      <c r="AB74" s="1">
        <v>44343</v>
      </c>
      <c r="AC74" s="1">
        <v>44344</v>
      </c>
      <c r="AD74" s="1">
        <v>44345</v>
      </c>
      <c r="AE74" s="1">
        <v>44346</v>
      </c>
      <c r="AF74" s="1">
        <v>44347</v>
      </c>
    </row>
    <row r="75" spans="1:35" x14ac:dyDescent="0.3">
      <c r="A75" s="2" t="s">
        <v>5</v>
      </c>
      <c r="B75">
        <v>22</v>
      </c>
      <c r="C75">
        <v>22</v>
      </c>
      <c r="D75" s="4">
        <v>22</v>
      </c>
      <c r="E75">
        <v>22</v>
      </c>
      <c r="F75">
        <v>22</v>
      </c>
      <c r="G75" s="4">
        <v>22</v>
      </c>
      <c r="H75" s="4">
        <v>19</v>
      </c>
      <c r="I75" s="4">
        <v>38</v>
      </c>
      <c r="J75" s="4">
        <v>22</v>
      </c>
      <c r="K75" s="4">
        <v>19</v>
      </c>
      <c r="L75" s="4">
        <v>22</v>
      </c>
      <c r="M75">
        <v>41</v>
      </c>
      <c r="N75">
        <v>22</v>
      </c>
      <c r="O75">
        <v>19</v>
      </c>
      <c r="P75">
        <v>22</v>
      </c>
      <c r="Q75">
        <v>19</v>
      </c>
      <c r="R75">
        <v>22</v>
      </c>
      <c r="S75" s="4">
        <v>22</v>
      </c>
      <c r="T75">
        <v>22</v>
      </c>
      <c r="U75">
        <v>19</v>
      </c>
      <c r="V75">
        <v>22</v>
      </c>
      <c r="W75">
        <v>22</v>
      </c>
      <c r="X75">
        <v>22</v>
      </c>
      <c r="Y75">
        <v>22</v>
      </c>
      <c r="Z75">
        <v>22</v>
      </c>
      <c r="AA75">
        <v>22</v>
      </c>
      <c r="AB75">
        <v>22</v>
      </c>
      <c r="AC75">
        <v>0</v>
      </c>
      <c r="AD75">
        <v>10</v>
      </c>
      <c r="AE75">
        <v>22</v>
      </c>
      <c r="AF75">
        <v>22</v>
      </c>
      <c r="AH75">
        <f>SUM(B75:AF75)</f>
        <v>668</v>
      </c>
      <c r="AI75" s="2"/>
    </row>
    <row r="76" spans="1:35" x14ac:dyDescent="0.3">
      <c r="A76" t="s">
        <v>14</v>
      </c>
      <c r="B76">
        <v>5</v>
      </c>
      <c r="C76">
        <v>6</v>
      </c>
      <c r="D76">
        <v>0</v>
      </c>
      <c r="E76">
        <v>0</v>
      </c>
      <c r="F76">
        <v>5</v>
      </c>
      <c r="G76">
        <v>25</v>
      </c>
      <c r="H76">
        <v>0</v>
      </c>
      <c r="I76">
        <v>5</v>
      </c>
      <c r="J76">
        <v>6</v>
      </c>
      <c r="K76">
        <v>5</v>
      </c>
      <c r="L76">
        <v>25</v>
      </c>
      <c r="M76">
        <v>5</v>
      </c>
      <c r="N76">
        <v>5</v>
      </c>
      <c r="O76">
        <v>5</v>
      </c>
      <c r="P76">
        <v>5</v>
      </c>
      <c r="Q76">
        <v>6</v>
      </c>
      <c r="R76">
        <v>0</v>
      </c>
      <c r="S76">
        <v>25</v>
      </c>
      <c r="T76">
        <v>5</v>
      </c>
      <c r="U76">
        <v>5</v>
      </c>
      <c r="V76">
        <v>5</v>
      </c>
      <c r="W76">
        <v>5</v>
      </c>
      <c r="X76">
        <v>6</v>
      </c>
      <c r="Y76">
        <v>5</v>
      </c>
      <c r="Z76">
        <v>25</v>
      </c>
      <c r="AA76">
        <v>5</v>
      </c>
      <c r="AB76">
        <v>5</v>
      </c>
      <c r="AC76">
        <v>5</v>
      </c>
      <c r="AD76">
        <v>5</v>
      </c>
      <c r="AE76">
        <v>6</v>
      </c>
      <c r="AF76">
        <v>5</v>
      </c>
      <c r="AH76">
        <f t="shared" ref="AH76:AH91" si="4">SUM(B76:AF76)</f>
        <v>220</v>
      </c>
    </row>
    <row r="77" spans="1:35" x14ac:dyDescent="0.3">
      <c r="A77" s="2" t="s">
        <v>0</v>
      </c>
      <c r="J77">
        <v>100</v>
      </c>
      <c r="W77" s="5">
        <v>102</v>
      </c>
      <c r="Y77">
        <v>102</v>
      </c>
      <c r="AH77">
        <f t="shared" si="4"/>
        <v>304</v>
      </c>
      <c r="AI77" s="2"/>
    </row>
    <row r="78" spans="1:35" x14ac:dyDescent="0.3">
      <c r="A78" s="2" t="s">
        <v>16</v>
      </c>
      <c r="E78">
        <v>263</v>
      </c>
      <c r="I78">
        <v>246</v>
      </c>
      <c r="N78">
        <v>17</v>
      </c>
      <c r="Q78">
        <v>105</v>
      </c>
      <c r="R78">
        <v>30</v>
      </c>
      <c r="T78">
        <v>208</v>
      </c>
      <c r="Y78">
        <v>98</v>
      </c>
      <c r="AC78">
        <v>10</v>
      </c>
      <c r="AH78">
        <f t="shared" si="4"/>
        <v>977</v>
      </c>
      <c r="AI78" s="2"/>
    </row>
    <row r="79" spans="1:35" x14ac:dyDescent="0.3">
      <c r="A79" s="2" t="s">
        <v>18</v>
      </c>
      <c r="E79">
        <v>2350</v>
      </c>
      <c r="H79" s="4">
        <v>499</v>
      </c>
      <c r="I79" s="4">
        <v>128</v>
      </c>
      <c r="O79" s="4">
        <v>88</v>
      </c>
      <c r="P79">
        <v>40</v>
      </c>
      <c r="S79" s="4">
        <v>433</v>
      </c>
      <c r="T79">
        <v>185</v>
      </c>
      <c r="U79" s="4">
        <v>216</v>
      </c>
      <c r="X79">
        <v>98</v>
      </c>
      <c r="Z79">
        <v>35</v>
      </c>
      <c r="AH79">
        <f t="shared" si="4"/>
        <v>4072</v>
      </c>
      <c r="AI79" s="2"/>
    </row>
    <row r="80" spans="1:35" x14ac:dyDescent="0.3">
      <c r="A80" s="2" t="s">
        <v>2</v>
      </c>
      <c r="B80">
        <v>176</v>
      </c>
      <c r="D80">
        <v>40</v>
      </c>
      <c r="E80">
        <v>150</v>
      </c>
      <c r="H80" s="4">
        <v>101</v>
      </c>
      <c r="I80">
        <v>22</v>
      </c>
      <c r="J80" s="4">
        <v>262</v>
      </c>
      <c r="K80">
        <v>60</v>
      </c>
      <c r="O80" s="4">
        <v>210</v>
      </c>
      <c r="Q80">
        <v>100</v>
      </c>
      <c r="T80">
        <v>114</v>
      </c>
      <c r="V80">
        <v>100</v>
      </c>
      <c r="X80">
        <v>22</v>
      </c>
      <c r="Y80">
        <v>100</v>
      </c>
      <c r="AB80">
        <v>100</v>
      </c>
      <c r="AD80">
        <v>110</v>
      </c>
      <c r="AE80">
        <v>250</v>
      </c>
      <c r="AH80">
        <f t="shared" si="4"/>
        <v>1917</v>
      </c>
      <c r="AI80" s="2"/>
    </row>
    <row r="81" spans="1:35" x14ac:dyDescent="0.3">
      <c r="A81" s="2" t="s">
        <v>19</v>
      </c>
      <c r="B81">
        <v>30</v>
      </c>
      <c r="C81">
        <v>121</v>
      </c>
      <c r="G81" s="4">
        <v>30</v>
      </c>
      <c r="H81" s="4">
        <v>10</v>
      </c>
      <c r="I81">
        <v>151</v>
      </c>
      <c r="K81" s="4">
        <v>30</v>
      </c>
      <c r="O81" s="4">
        <v>19</v>
      </c>
      <c r="P81">
        <v>30</v>
      </c>
      <c r="Q81">
        <v>50</v>
      </c>
      <c r="V81">
        <v>50</v>
      </c>
      <c r="W81">
        <v>20</v>
      </c>
      <c r="X81">
        <v>50</v>
      </c>
      <c r="Y81">
        <v>40</v>
      </c>
      <c r="AA81">
        <v>30</v>
      </c>
      <c r="AB81">
        <v>40</v>
      </c>
      <c r="AC81">
        <v>40</v>
      </c>
      <c r="AD81">
        <v>10</v>
      </c>
      <c r="AE81">
        <v>30</v>
      </c>
      <c r="AF81">
        <v>10</v>
      </c>
      <c r="AH81">
        <f t="shared" si="4"/>
        <v>791</v>
      </c>
      <c r="AI81" s="2"/>
    </row>
    <row r="82" spans="1:35" x14ac:dyDescent="0.3">
      <c r="A82" s="2" t="s">
        <v>7</v>
      </c>
      <c r="D82">
        <v>20</v>
      </c>
      <c r="K82">
        <v>10</v>
      </c>
      <c r="Y82">
        <v>20</v>
      </c>
      <c r="AH82">
        <f t="shared" si="4"/>
        <v>50</v>
      </c>
      <c r="AI82" s="2"/>
    </row>
    <row r="83" spans="1:35" x14ac:dyDescent="0.3">
      <c r="A83" s="2" t="s">
        <v>15</v>
      </c>
      <c r="K83">
        <v>117</v>
      </c>
      <c r="L83">
        <v>207</v>
      </c>
      <c r="M83">
        <v>202</v>
      </c>
      <c r="N83">
        <v>278</v>
      </c>
      <c r="O83">
        <v>213</v>
      </c>
      <c r="AH83">
        <f t="shared" si="4"/>
        <v>1017</v>
      </c>
      <c r="AI83" s="2"/>
    </row>
    <row r="84" spans="1:35" x14ac:dyDescent="0.3">
      <c r="A84" s="2" t="s">
        <v>13</v>
      </c>
      <c r="K84">
        <v>200</v>
      </c>
      <c r="AH84">
        <f t="shared" si="4"/>
        <v>200</v>
      </c>
      <c r="AI84" s="2"/>
    </row>
    <row r="85" spans="1:35" x14ac:dyDescent="0.3">
      <c r="A85" s="2" t="s">
        <v>9</v>
      </c>
      <c r="G85">
        <v>320</v>
      </c>
      <c r="AH85">
        <f t="shared" si="4"/>
        <v>320</v>
      </c>
      <c r="AI85" s="2"/>
    </row>
    <row r="86" spans="1:35" x14ac:dyDescent="0.3">
      <c r="A86" s="2" t="s">
        <v>17</v>
      </c>
      <c r="AF86">
        <v>471</v>
      </c>
      <c r="AH86">
        <f>SUM(B86:AF86)</f>
        <v>471</v>
      </c>
      <c r="AI86" s="2"/>
    </row>
    <row r="87" spans="1:35" x14ac:dyDescent="0.3">
      <c r="A87" s="2" t="s">
        <v>8</v>
      </c>
      <c r="E87">
        <v>160</v>
      </c>
      <c r="AH87">
        <f t="shared" si="4"/>
        <v>160</v>
      </c>
      <c r="AI87" s="2"/>
    </row>
    <row r="88" spans="1:35" x14ac:dyDescent="0.3">
      <c r="A88" s="2" t="s">
        <v>11</v>
      </c>
      <c r="E88">
        <v>820</v>
      </c>
      <c r="AH88">
        <f t="shared" si="4"/>
        <v>820</v>
      </c>
      <c r="AI88" s="2"/>
    </row>
    <row r="89" spans="1:35" x14ac:dyDescent="0.3">
      <c r="A89" s="2" t="s">
        <v>20</v>
      </c>
      <c r="D89">
        <v>10</v>
      </c>
      <c r="I89">
        <v>149</v>
      </c>
      <c r="AH89">
        <f t="shared" si="4"/>
        <v>159</v>
      </c>
      <c r="AI89" s="2"/>
    </row>
    <row r="90" spans="1:35" x14ac:dyDescent="0.3">
      <c r="A90" s="2" t="s">
        <v>12</v>
      </c>
      <c r="L90" s="3"/>
      <c r="M90">
        <v>600</v>
      </c>
      <c r="AF90">
        <v>500</v>
      </c>
      <c r="AH90">
        <f t="shared" si="4"/>
        <v>1100</v>
      </c>
      <c r="AI90" s="2"/>
    </row>
    <row r="91" spans="1:35" x14ac:dyDescent="0.3">
      <c r="A91" s="2" t="s">
        <v>4</v>
      </c>
      <c r="C91">
        <v>30</v>
      </c>
      <c r="J91" s="4">
        <v>115</v>
      </c>
      <c r="AE91">
        <v>6012</v>
      </c>
      <c r="AF91">
        <v>1819</v>
      </c>
      <c r="AH91">
        <f t="shared" si="4"/>
        <v>7976</v>
      </c>
      <c r="AI91" s="2"/>
    </row>
    <row r="92" spans="1:35" x14ac:dyDescent="0.3">
      <c r="Q92" s="6">
        <f>SUM(B75:AF91)</f>
        <v>21222</v>
      </c>
      <c r="R92">
        <v>-7831</v>
      </c>
      <c r="S92">
        <f>SUM(Q92:R92)</f>
        <v>13391</v>
      </c>
    </row>
    <row r="93" spans="1:35" x14ac:dyDescent="0.3">
      <c r="B93" s="1">
        <v>44348</v>
      </c>
      <c r="C93" s="1">
        <v>44349</v>
      </c>
      <c r="D93" s="1">
        <v>44350</v>
      </c>
      <c r="E93" s="1">
        <v>44351</v>
      </c>
      <c r="F93" s="1">
        <v>44352</v>
      </c>
      <c r="G93" s="1">
        <v>44353</v>
      </c>
      <c r="H93" s="1">
        <v>44354</v>
      </c>
      <c r="I93" s="1">
        <v>44355</v>
      </c>
      <c r="J93" s="1">
        <v>44356</v>
      </c>
      <c r="K93" s="1">
        <v>44357</v>
      </c>
      <c r="L93" s="1">
        <v>44358</v>
      </c>
      <c r="M93" s="1">
        <v>44359</v>
      </c>
      <c r="N93" s="1">
        <v>44360</v>
      </c>
      <c r="O93" s="1">
        <v>44361</v>
      </c>
      <c r="P93" s="1">
        <v>44362</v>
      </c>
      <c r="Q93" s="1">
        <v>44363</v>
      </c>
      <c r="R93" s="1">
        <v>44364</v>
      </c>
      <c r="S93" s="1">
        <v>44365</v>
      </c>
      <c r="T93" s="1">
        <v>44366</v>
      </c>
      <c r="U93" s="1">
        <v>44367</v>
      </c>
      <c r="V93" s="1">
        <v>44368</v>
      </c>
      <c r="W93" s="1">
        <v>44369</v>
      </c>
      <c r="X93" s="1">
        <v>44370</v>
      </c>
      <c r="Y93" s="1">
        <v>44371</v>
      </c>
      <c r="Z93" s="1">
        <v>44372</v>
      </c>
      <c r="AA93" s="1">
        <v>44373</v>
      </c>
      <c r="AB93" s="1">
        <v>44374</v>
      </c>
      <c r="AC93" s="1">
        <v>44375</v>
      </c>
      <c r="AD93" s="1">
        <v>44376</v>
      </c>
      <c r="AE93" s="1">
        <v>44377</v>
      </c>
    </row>
    <row r="94" spans="1:35" x14ac:dyDescent="0.3">
      <c r="A94" s="2" t="s">
        <v>5</v>
      </c>
      <c r="B94">
        <v>22</v>
      </c>
      <c r="C94">
        <v>22</v>
      </c>
      <c r="D94">
        <v>22</v>
      </c>
      <c r="E94">
        <v>22</v>
      </c>
      <c r="F94">
        <v>22</v>
      </c>
      <c r="G94">
        <v>22</v>
      </c>
      <c r="H94">
        <v>22</v>
      </c>
      <c r="I94">
        <v>0</v>
      </c>
      <c r="J94">
        <v>22</v>
      </c>
      <c r="K94" s="4">
        <v>22</v>
      </c>
      <c r="L94">
        <v>22</v>
      </c>
      <c r="M94">
        <v>22</v>
      </c>
      <c r="N94">
        <v>22</v>
      </c>
      <c r="O94">
        <v>0</v>
      </c>
      <c r="P94">
        <v>22</v>
      </c>
      <c r="Q94">
        <v>0</v>
      </c>
      <c r="R94" s="4">
        <v>22</v>
      </c>
      <c r="S94">
        <v>32</v>
      </c>
      <c r="T94">
        <v>22</v>
      </c>
      <c r="U94">
        <v>22</v>
      </c>
      <c r="V94">
        <v>32</v>
      </c>
      <c r="W94">
        <v>22</v>
      </c>
      <c r="X94" s="4">
        <v>22</v>
      </c>
      <c r="Y94" s="4">
        <v>22</v>
      </c>
      <c r="Z94">
        <v>0</v>
      </c>
      <c r="AA94">
        <v>22</v>
      </c>
      <c r="AB94">
        <v>32</v>
      </c>
      <c r="AC94" s="4">
        <v>22</v>
      </c>
      <c r="AD94">
        <v>22</v>
      </c>
      <c r="AE94">
        <v>22</v>
      </c>
      <c r="AH94">
        <f>SUM(B94:AE94)</f>
        <v>602</v>
      </c>
      <c r="AI94" s="2"/>
    </row>
    <row r="95" spans="1:35" x14ac:dyDescent="0.3">
      <c r="A95" t="s">
        <v>14</v>
      </c>
      <c r="B95">
        <v>5</v>
      </c>
      <c r="C95">
        <v>25</v>
      </c>
      <c r="D95">
        <v>5</v>
      </c>
      <c r="E95">
        <v>5</v>
      </c>
      <c r="F95">
        <v>5</v>
      </c>
      <c r="G95">
        <v>6</v>
      </c>
      <c r="H95">
        <v>5</v>
      </c>
      <c r="I95">
        <v>5</v>
      </c>
      <c r="J95">
        <v>25</v>
      </c>
      <c r="K95">
        <v>5</v>
      </c>
      <c r="L95">
        <v>5</v>
      </c>
      <c r="M95">
        <v>5</v>
      </c>
      <c r="N95">
        <v>6</v>
      </c>
      <c r="O95">
        <v>0</v>
      </c>
      <c r="P95">
        <v>25</v>
      </c>
      <c r="Q95">
        <v>5</v>
      </c>
      <c r="R95">
        <v>5</v>
      </c>
      <c r="S95">
        <v>5</v>
      </c>
      <c r="T95">
        <v>5</v>
      </c>
      <c r="U95">
        <v>6</v>
      </c>
      <c r="V95">
        <v>5</v>
      </c>
      <c r="W95">
        <v>25</v>
      </c>
      <c r="X95">
        <v>5</v>
      </c>
      <c r="Y95">
        <v>5</v>
      </c>
      <c r="Z95">
        <v>0</v>
      </c>
      <c r="AA95">
        <v>5</v>
      </c>
      <c r="AB95">
        <v>6</v>
      </c>
      <c r="AC95">
        <v>5</v>
      </c>
      <c r="AD95">
        <v>25</v>
      </c>
      <c r="AE95">
        <v>5</v>
      </c>
      <c r="AH95">
        <f>SUM(B95:AE95)</f>
        <v>244</v>
      </c>
    </row>
    <row r="96" spans="1:35" x14ac:dyDescent="0.3">
      <c r="A96" s="2" t="s">
        <v>0</v>
      </c>
      <c r="G96">
        <v>152</v>
      </c>
      <c r="J96" s="9">
        <v>2010</v>
      </c>
      <c r="P96">
        <v>152</v>
      </c>
      <c r="AD96" s="3"/>
      <c r="AH96">
        <f t="shared" ref="AH96:AH110" si="5">SUM(B96:AE96)</f>
        <v>2314</v>
      </c>
      <c r="AI96" s="2"/>
    </row>
    <row r="97" spans="1:35" x14ac:dyDescent="0.3">
      <c r="A97" s="2" t="s">
        <v>16</v>
      </c>
      <c r="B97">
        <v>62</v>
      </c>
      <c r="E97">
        <v>166</v>
      </c>
      <c r="F97">
        <v>25</v>
      </c>
      <c r="G97">
        <v>10</v>
      </c>
      <c r="I97">
        <v>50</v>
      </c>
      <c r="J97">
        <v>64</v>
      </c>
      <c r="K97">
        <v>75</v>
      </c>
      <c r="L97">
        <v>50</v>
      </c>
      <c r="N97">
        <v>175</v>
      </c>
      <c r="R97">
        <v>20</v>
      </c>
      <c r="S97">
        <v>60</v>
      </c>
      <c r="T97">
        <v>30</v>
      </c>
      <c r="U97" s="4">
        <v>42</v>
      </c>
      <c r="V97">
        <v>30</v>
      </c>
      <c r="Z97">
        <v>130</v>
      </c>
      <c r="AC97">
        <v>76</v>
      </c>
      <c r="AH97">
        <f t="shared" si="5"/>
        <v>1065</v>
      </c>
      <c r="AI97" s="2"/>
    </row>
    <row r="98" spans="1:35" x14ac:dyDescent="0.3">
      <c r="A98" s="2" t="s">
        <v>18</v>
      </c>
      <c r="F98" s="4">
        <v>1031</v>
      </c>
      <c r="G98">
        <v>2070</v>
      </c>
      <c r="T98" s="4">
        <v>48</v>
      </c>
      <c r="U98" s="4">
        <v>59</v>
      </c>
      <c r="W98">
        <v>170</v>
      </c>
      <c r="X98" s="4">
        <v>128</v>
      </c>
      <c r="Y98" s="4">
        <v>15</v>
      </c>
      <c r="AB98" s="4">
        <v>63</v>
      </c>
      <c r="AH98">
        <f t="shared" si="5"/>
        <v>3584</v>
      </c>
      <c r="AI98" s="2"/>
    </row>
    <row r="99" spans="1:35" x14ac:dyDescent="0.3">
      <c r="A99" s="2" t="s">
        <v>2</v>
      </c>
      <c r="E99">
        <v>189</v>
      </c>
      <c r="H99">
        <v>60</v>
      </c>
      <c r="I99">
        <v>100</v>
      </c>
      <c r="K99">
        <v>100</v>
      </c>
      <c r="M99">
        <v>100</v>
      </c>
      <c r="N99">
        <v>100</v>
      </c>
      <c r="S99">
        <v>200</v>
      </c>
      <c r="U99">
        <v>220</v>
      </c>
      <c r="X99">
        <v>45</v>
      </c>
      <c r="Z99">
        <v>400</v>
      </c>
      <c r="AH99">
        <f t="shared" si="5"/>
        <v>1514</v>
      </c>
      <c r="AI99" s="2"/>
    </row>
    <row r="100" spans="1:35" x14ac:dyDescent="0.3">
      <c r="A100" s="2" t="s">
        <v>19</v>
      </c>
      <c r="C100">
        <v>60</v>
      </c>
      <c r="F100" s="4">
        <v>26</v>
      </c>
      <c r="H100" s="4">
        <v>50</v>
      </c>
      <c r="I100">
        <v>165</v>
      </c>
      <c r="L100">
        <v>150</v>
      </c>
      <c r="N100">
        <v>90</v>
      </c>
      <c r="P100">
        <v>90</v>
      </c>
      <c r="Q100" s="4">
        <v>50</v>
      </c>
      <c r="R100" s="4">
        <v>20</v>
      </c>
      <c r="S100">
        <v>70</v>
      </c>
      <c r="T100" s="4">
        <v>30</v>
      </c>
      <c r="V100">
        <v>50</v>
      </c>
      <c r="W100">
        <v>10</v>
      </c>
      <c r="Z100">
        <v>95</v>
      </c>
      <c r="AB100" s="4">
        <v>65</v>
      </c>
      <c r="AD100">
        <v>100</v>
      </c>
      <c r="AE100">
        <v>60</v>
      </c>
      <c r="AH100">
        <f t="shared" si="5"/>
        <v>1181</v>
      </c>
      <c r="AI100" s="2"/>
    </row>
    <row r="101" spans="1:35" x14ac:dyDescent="0.3">
      <c r="A101" s="2" t="s">
        <v>7</v>
      </c>
      <c r="B101">
        <v>30</v>
      </c>
      <c r="E101">
        <v>20</v>
      </c>
      <c r="H101">
        <v>20</v>
      </c>
      <c r="L101">
        <v>10</v>
      </c>
      <c r="P101">
        <v>20</v>
      </c>
      <c r="X101">
        <v>10</v>
      </c>
      <c r="AA101">
        <v>20</v>
      </c>
      <c r="AH101">
        <f t="shared" si="5"/>
        <v>130</v>
      </c>
      <c r="AI101" s="2"/>
    </row>
    <row r="102" spans="1:35" x14ac:dyDescent="0.3">
      <c r="A102" s="2" t="s">
        <v>15</v>
      </c>
      <c r="K102">
        <v>135</v>
      </c>
      <c r="L102">
        <v>203</v>
      </c>
      <c r="M102">
        <v>236</v>
      </c>
      <c r="N102">
        <v>284</v>
      </c>
      <c r="O102">
        <v>284</v>
      </c>
      <c r="AH102">
        <f t="shared" si="5"/>
        <v>1142</v>
      </c>
      <c r="AI102" s="2"/>
    </row>
    <row r="103" spans="1:35" x14ac:dyDescent="0.3">
      <c r="A103" s="2" t="s">
        <v>13</v>
      </c>
      <c r="K103">
        <v>200</v>
      </c>
      <c r="AH103">
        <f t="shared" si="5"/>
        <v>200</v>
      </c>
      <c r="AI103" s="2"/>
    </row>
    <row r="104" spans="1:35" x14ac:dyDescent="0.3">
      <c r="A104" s="2" t="s">
        <v>9</v>
      </c>
      <c r="I104">
        <v>320</v>
      </c>
      <c r="AH104">
        <f t="shared" si="5"/>
        <v>320</v>
      </c>
      <c r="AI104" s="2"/>
    </row>
    <row r="105" spans="1:35" x14ac:dyDescent="0.3">
      <c r="A105" s="2" t="s">
        <v>17</v>
      </c>
      <c r="AD105">
        <v>149</v>
      </c>
      <c r="AE105">
        <v>471</v>
      </c>
      <c r="AH105">
        <f t="shared" si="5"/>
        <v>620</v>
      </c>
      <c r="AI105" s="2"/>
    </row>
    <row r="106" spans="1:35" x14ac:dyDescent="0.3">
      <c r="A106" s="2" t="s">
        <v>11</v>
      </c>
      <c r="AE106">
        <v>822</v>
      </c>
      <c r="AH106">
        <f t="shared" si="5"/>
        <v>822</v>
      </c>
      <c r="AI106" s="2"/>
    </row>
    <row r="107" spans="1:35" x14ac:dyDescent="0.3">
      <c r="A107" s="2" t="s">
        <v>6</v>
      </c>
      <c r="Z107">
        <v>60</v>
      </c>
      <c r="AH107">
        <f t="shared" si="5"/>
        <v>60</v>
      </c>
      <c r="AI107" s="2"/>
    </row>
    <row r="108" spans="1:35" x14ac:dyDescent="0.3">
      <c r="A108" s="2" t="s">
        <v>20</v>
      </c>
      <c r="B108">
        <v>149</v>
      </c>
      <c r="AH108">
        <f t="shared" si="5"/>
        <v>149</v>
      </c>
      <c r="AI108" s="2"/>
    </row>
    <row r="109" spans="1:35" x14ac:dyDescent="0.3">
      <c r="A109" s="2" t="s">
        <v>12</v>
      </c>
      <c r="F109">
        <v>500</v>
      </c>
      <c r="K109">
        <v>600</v>
      </c>
      <c r="M109">
        <v>1200</v>
      </c>
      <c r="AC109">
        <v>500</v>
      </c>
      <c r="AH109">
        <f t="shared" si="5"/>
        <v>2800</v>
      </c>
      <c r="AI109" s="2"/>
    </row>
    <row r="110" spans="1:35" x14ac:dyDescent="0.3">
      <c r="A110" s="2" t="s">
        <v>4</v>
      </c>
      <c r="F110">
        <v>30</v>
      </c>
      <c r="H110">
        <v>20</v>
      </c>
      <c r="I110">
        <v>30</v>
      </c>
      <c r="J110">
        <v>15</v>
      </c>
      <c r="Z110">
        <v>5</v>
      </c>
      <c r="AH110">
        <f t="shared" si="5"/>
        <v>100</v>
      </c>
      <c r="AI110" s="2"/>
    </row>
    <row r="111" spans="1:35" x14ac:dyDescent="0.3">
      <c r="A111" s="2"/>
      <c r="Q111" s="6">
        <f>SUM(B94:AE110)</f>
        <v>16847</v>
      </c>
    </row>
    <row r="112" spans="1:35" x14ac:dyDescent="0.3">
      <c r="A112" s="2"/>
      <c r="B112" s="1">
        <v>44378</v>
      </c>
      <c r="C112" s="1">
        <v>44379</v>
      </c>
      <c r="D112" s="1">
        <v>44380</v>
      </c>
      <c r="E112" s="1">
        <v>44381</v>
      </c>
      <c r="F112" s="1">
        <v>44382</v>
      </c>
      <c r="G112" s="1">
        <v>44383</v>
      </c>
      <c r="H112" s="1">
        <v>44384</v>
      </c>
      <c r="I112" s="1">
        <v>44385</v>
      </c>
      <c r="J112" s="1">
        <v>44386</v>
      </c>
      <c r="K112" s="1">
        <v>44387</v>
      </c>
      <c r="L112" s="1">
        <v>44388</v>
      </c>
      <c r="M112" s="1">
        <v>44389</v>
      </c>
      <c r="N112" s="1">
        <v>44390</v>
      </c>
      <c r="O112" s="1">
        <v>44391</v>
      </c>
      <c r="P112" s="1">
        <v>44392</v>
      </c>
      <c r="Q112" s="1">
        <v>44393</v>
      </c>
      <c r="R112" s="1">
        <v>44394</v>
      </c>
      <c r="S112" s="1">
        <v>44395</v>
      </c>
      <c r="T112" s="1">
        <v>44396</v>
      </c>
      <c r="U112" s="1">
        <v>44397</v>
      </c>
      <c r="V112" s="1">
        <v>44398</v>
      </c>
      <c r="W112" s="1">
        <v>44399</v>
      </c>
      <c r="X112" s="1">
        <v>44400</v>
      </c>
      <c r="Y112" s="1">
        <v>44401</v>
      </c>
      <c r="Z112" s="1">
        <v>44402</v>
      </c>
      <c r="AA112" s="1">
        <v>44403</v>
      </c>
      <c r="AB112" s="1">
        <v>44404</v>
      </c>
      <c r="AC112" s="1">
        <v>44405</v>
      </c>
      <c r="AD112" s="1">
        <v>44406</v>
      </c>
      <c r="AE112" s="1">
        <v>44407</v>
      </c>
      <c r="AF112" s="1">
        <v>44408</v>
      </c>
    </row>
    <row r="113" spans="1:35" x14ac:dyDescent="0.3">
      <c r="A113" s="2" t="s">
        <v>5</v>
      </c>
      <c r="B113" s="4">
        <v>22</v>
      </c>
      <c r="C113" s="4">
        <v>22</v>
      </c>
      <c r="D113">
        <v>32</v>
      </c>
      <c r="E113" s="4">
        <v>22</v>
      </c>
      <c r="F113" s="4">
        <v>22</v>
      </c>
      <c r="G113" s="4">
        <v>22</v>
      </c>
      <c r="H113" s="4">
        <v>22</v>
      </c>
      <c r="I113" s="4">
        <v>22</v>
      </c>
      <c r="J113">
        <v>22</v>
      </c>
      <c r="K113" s="4">
        <v>22</v>
      </c>
      <c r="L113" s="4">
        <v>22</v>
      </c>
      <c r="M113">
        <v>22</v>
      </c>
      <c r="N113">
        <v>22</v>
      </c>
      <c r="O113">
        <v>22</v>
      </c>
      <c r="P113">
        <v>22</v>
      </c>
      <c r="Q113">
        <v>22</v>
      </c>
      <c r="R113" s="4">
        <v>22</v>
      </c>
      <c r="S113" s="4">
        <v>22</v>
      </c>
      <c r="T113" s="4">
        <v>22</v>
      </c>
      <c r="U113" s="4">
        <v>22</v>
      </c>
      <c r="V113" s="4">
        <v>22</v>
      </c>
      <c r="W113" s="4">
        <v>22</v>
      </c>
      <c r="X113" s="4">
        <v>0</v>
      </c>
      <c r="Y113" s="4">
        <v>22</v>
      </c>
      <c r="Z113" s="4">
        <v>29</v>
      </c>
      <c r="AA113">
        <v>0</v>
      </c>
      <c r="AB113" s="4">
        <v>22</v>
      </c>
      <c r="AC113" s="4">
        <v>22</v>
      </c>
      <c r="AD113" s="4">
        <v>22</v>
      </c>
      <c r="AE113" s="4">
        <v>22</v>
      </c>
      <c r="AF113">
        <v>22</v>
      </c>
      <c r="AH113">
        <f>SUM(B113:AF113)</f>
        <v>655</v>
      </c>
      <c r="AI113" s="2"/>
    </row>
    <row r="114" spans="1:35" x14ac:dyDescent="0.3">
      <c r="A114" t="s">
        <v>14</v>
      </c>
      <c r="B114">
        <v>5</v>
      </c>
      <c r="C114">
        <v>5</v>
      </c>
      <c r="D114">
        <v>5</v>
      </c>
      <c r="E114">
        <v>6</v>
      </c>
      <c r="F114">
        <v>5</v>
      </c>
      <c r="G114">
        <v>25</v>
      </c>
      <c r="H114">
        <v>5</v>
      </c>
      <c r="I114">
        <v>5</v>
      </c>
      <c r="J114">
        <v>6</v>
      </c>
      <c r="K114">
        <v>5</v>
      </c>
      <c r="L114">
        <v>6</v>
      </c>
      <c r="M114">
        <v>5</v>
      </c>
      <c r="N114">
        <v>45</v>
      </c>
      <c r="O114">
        <v>5</v>
      </c>
      <c r="P114">
        <v>5</v>
      </c>
      <c r="Q114">
        <v>5</v>
      </c>
      <c r="R114">
        <v>5</v>
      </c>
      <c r="S114">
        <v>6</v>
      </c>
      <c r="T114">
        <v>5</v>
      </c>
      <c r="U114">
        <v>25</v>
      </c>
      <c r="V114">
        <v>0</v>
      </c>
      <c r="W114">
        <v>5</v>
      </c>
      <c r="X114">
        <v>0</v>
      </c>
      <c r="Y114">
        <v>5</v>
      </c>
      <c r="Z114">
        <v>6</v>
      </c>
      <c r="AA114">
        <v>5</v>
      </c>
      <c r="AB114">
        <v>25</v>
      </c>
      <c r="AC114">
        <v>5</v>
      </c>
      <c r="AD114">
        <v>5</v>
      </c>
      <c r="AE114">
        <v>5</v>
      </c>
      <c r="AF114">
        <v>5</v>
      </c>
      <c r="AH114">
        <f t="shared" ref="AH114:AH127" si="6">SUM(B114:AF114)</f>
        <v>250</v>
      </c>
    </row>
    <row r="115" spans="1:35" x14ac:dyDescent="0.3">
      <c r="A115" s="2" t="s">
        <v>0</v>
      </c>
      <c r="B115">
        <v>150</v>
      </c>
      <c r="E115">
        <v>10</v>
      </c>
      <c r="K115" s="5">
        <v>102</v>
      </c>
      <c r="M115">
        <v>100</v>
      </c>
      <c r="V115">
        <v>102</v>
      </c>
      <c r="AC115">
        <v>200</v>
      </c>
      <c r="AH115">
        <f t="shared" si="6"/>
        <v>664</v>
      </c>
      <c r="AI115" s="2"/>
    </row>
    <row r="116" spans="1:35" x14ac:dyDescent="0.3">
      <c r="A116" s="2" t="s">
        <v>16</v>
      </c>
      <c r="B116">
        <v>40</v>
      </c>
      <c r="C116">
        <v>50</v>
      </c>
      <c r="D116">
        <v>40</v>
      </c>
      <c r="E116">
        <v>25</v>
      </c>
      <c r="G116">
        <v>20</v>
      </c>
      <c r="H116" s="4">
        <v>83</v>
      </c>
      <c r="R116">
        <v>10</v>
      </c>
      <c r="T116">
        <v>40</v>
      </c>
      <c r="U116">
        <v>135</v>
      </c>
      <c r="V116" s="4">
        <v>51</v>
      </c>
      <c r="W116" s="4">
        <v>63</v>
      </c>
      <c r="Y116">
        <v>10</v>
      </c>
      <c r="AA116">
        <v>165</v>
      </c>
      <c r="AC116">
        <v>20</v>
      </c>
      <c r="AD116">
        <v>88</v>
      </c>
      <c r="AE116">
        <v>9</v>
      </c>
      <c r="AH116">
        <f t="shared" si="6"/>
        <v>849</v>
      </c>
      <c r="AI116" s="2"/>
    </row>
    <row r="117" spans="1:35" x14ac:dyDescent="0.3">
      <c r="A117" s="2" t="s">
        <v>18</v>
      </c>
      <c r="G117" s="4">
        <v>715</v>
      </c>
      <c r="H117" s="4">
        <v>62</v>
      </c>
      <c r="I117">
        <v>4295</v>
      </c>
      <c r="L117" s="4">
        <v>67</v>
      </c>
      <c r="N117" s="4">
        <v>148</v>
      </c>
      <c r="O117" s="4">
        <v>97</v>
      </c>
      <c r="U117">
        <v>10</v>
      </c>
      <c r="X117">
        <v>520</v>
      </c>
      <c r="Y117" s="4">
        <v>45</v>
      </c>
      <c r="AC117">
        <v>210</v>
      </c>
      <c r="AE117" s="4">
        <v>291</v>
      </c>
      <c r="AF117">
        <v>164</v>
      </c>
      <c r="AH117">
        <f t="shared" si="6"/>
        <v>6624</v>
      </c>
      <c r="AI117" s="2"/>
    </row>
    <row r="118" spans="1:35" x14ac:dyDescent="0.3">
      <c r="A118" s="2" t="s">
        <v>2</v>
      </c>
      <c r="B118">
        <v>30</v>
      </c>
      <c r="D118">
        <v>26</v>
      </c>
      <c r="F118">
        <v>60</v>
      </c>
      <c r="K118">
        <v>50</v>
      </c>
      <c r="U118">
        <v>56</v>
      </c>
      <c r="Y118">
        <v>80</v>
      </c>
      <c r="AC118" s="4">
        <v>64</v>
      </c>
      <c r="AD118">
        <v>60</v>
      </c>
      <c r="AE118">
        <v>70</v>
      </c>
      <c r="AH118">
        <f t="shared" si="6"/>
        <v>496</v>
      </c>
      <c r="AI118" s="2"/>
    </row>
    <row r="119" spans="1:35" x14ac:dyDescent="0.3">
      <c r="A119" s="2" t="s">
        <v>19</v>
      </c>
      <c r="B119">
        <v>30</v>
      </c>
      <c r="C119" s="4">
        <v>30</v>
      </c>
      <c r="D119">
        <v>48</v>
      </c>
      <c r="E119">
        <v>40</v>
      </c>
      <c r="F119" s="4">
        <v>15</v>
      </c>
      <c r="G119" s="4">
        <v>30</v>
      </c>
      <c r="I119" s="4">
        <v>10</v>
      </c>
      <c r="S119" s="4">
        <v>50</v>
      </c>
      <c r="W119">
        <v>70</v>
      </c>
      <c r="X119" s="4">
        <v>42</v>
      </c>
      <c r="AB119" s="4">
        <v>14</v>
      </c>
      <c r="AF119">
        <v>49</v>
      </c>
      <c r="AH119">
        <f t="shared" si="6"/>
        <v>428</v>
      </c>
      <c r="AI119" s="2"/>
    </row>
    <row r="120" spans="1:35" x14ac:dyDescent="0.3">
      <c r="A120" s="2" t="s">
        <v>7</v>
      </c>
      <c r="E120">
        <v>30</v>
      </c>
      <c r="K120">
        <v>30</v>
      </c>
      <c r="V120">
        <v>20</v>
      </c>
      <c r="AB120">
        <v>50</v>
      </c>
      <c r="AH120">
        <f t="shared" si="6"/>
        <v>130</v>
      </c>
      <c r="AI120" s="2"/>
    </row>
    <row r="121" spans="1:35" x14ac:dyDescent="0.3">
      <c r="A121" s="2" t="s">
        <v>15</v>
      </c>
      <c r="K121">
        <v>239</v>
      </c>
      <c r="L121">
        <v>200</v>
      </c>
      <c r="M121">
        <v>222</v>
      </c>
      <c r="N121">
        <v>74</v>
      </c>
      <c r="O121">
        <v>2</v>
      </c>
      <c r="AH121">
        <f t="shared" si="6"/>
        <v>737</v>
      </c>
      <c r="AI121" s="2"/>
    </row>
    <row r="122" spans="1:35" x14ac:dyDescent="0.3">
      <c r="A122" s="2" t="s">
        <v>13</v>
      </c>
      <c r="K122">
        <v>200</v>
      </c>
      <c r="AH122">
        <f t="shared" si="6"/>
        <v>200</v>
      </c>
      <c r="AI122" s="2"/>
    </row>
    <row r="123" spans="1:35" x14ac:dyDescent="0.3">
      <c r="A123" s="2" t="s">
        <v>9</v>
      </c>
      <c r="H123">
        <v>320</v>
      </c>
      <c r="K123" s="3"/>
      <c r="AH123">
        <f t="shared" si="6"/>
        <v>320</v>
      </c>
      <c r="AI123" s="2"/>
    </row>
    <row r="124" spans="1:35" x14ac:dyDescent="0.3">
      <c r="A124" s="2" t="s">
        <v>17</v>
      </c>
      <c r="AE124">
        <v>471</v>
      </c>
      <c r="AH124">
        <f t="shared" si="6"/>
        <v>471</v>
      </c>
      <c r="AI124" s="2"/>
    </row>
    <row r="125" spans="1:35" x14ac:dyDescent="0.3">
      <c r="A125" s="2" t="s">
        <v>20</v>
      </c>
      <c r="D125">
        <v>20</v>
      </c>
      <c r="F125">
        <v>200</v>
      </c>
      <c r="J125">
        <v>250</v>
      </c>
      <c r="N125">
        <v>500</v>
      </c>
      <c r="O125">
        <v>1118</v>
      </c>
      <c r="P125">
        <v>100</v>
      </c>
      <c r="X125">
        <v>230</v>
      </c>
      <c r="Y125">
        <v>149</v>
      </c>
      <c r="Z125">
        <v>150</v>
      </c>
      <c r="AH125">
        <f t="shared" si="6"/>
        <v>2717</v>
      </c>
      <c r="AI125" s="2"/>
    </row>
    <row r="126" spans="1:35" x14ac:dyDescent="0.3">
      <c r="A126" s="2" t="s">
        <v>12</v>
      </c>
      <c r="E126">
        <v>90</v>
      </c>
      <c r="J126">
        <v>270</v>
      </c>
      <c r="K126">
        <v>600</v>
      </c>
      <c r="L126">
        <v>670</v>
      </c>
      <c r="N126">
        <v>370</v>
      </c>
      <c r="Q126">
        <v>24500</v>
      </c>
      <c r="R126">
        <v>-9300</v>
      </c>
      <c r="Z126">
        <v>150</v>
      </c>
      <c r="AD126">
        <v>4236</v>
      </c>
      <c r="AH126">
        <f t="shared" si="6"/>
        <v>21586</v>
      </c>
      <c r="AI126" s="2"/>
    </row>
    <row r="127" spans="1:35" x14ac:dyDescent="0.3">
      <c r="A127" s="2" t="s">
        <v>4</v>
      </c>
      <c r="B127">
        <v>35</v>
      </c>
      <c r="H127">
        <v>30</v>
      </c>
      <c r="J127">
        <v>250</v>
      </c>
      <c r="AC127">
        <v>40</v>
      </c>
      <c r="AF127">
        <v>295</v>
      </c>
      <c r="AH127">
        <f t="shared" si="6"/>
        <v>650</v>
      </c>
      <c r="AI127" s="2"/>
    </row>
    <row r="128" spans="1:35" x14ac:dyDescent="0.3">
      <c r="Q128" s="6">
        <f>SUM(B113:AF127)</f>
        <v>36777</v>
      </c>
      <c r="R128">
        <v>-4236</v>
      </c>
    </row>
    <row r="129" spans="1:34" x14ac:dyDescent="0.3">
      <c r="B129" s="1">
        <v>44409</v>
      </c>
      <c r="C129" s="1">
        <v>44410</v>
      </c>
      <c r="D129" s="1">
        <v>44411</v>
      </c>
      <c r="E129" s="1">
        <v>44412</v>
      </c>
      <c r="F129" s="1">
        <v>44413</v>
      </c>
      <c r="G129" s="1">
        <v>44414</v>
      </c>
      <c r="H129" s="1">
        <v>44415</v>
      </c>
      <c r="I129" s="1">
        <v>44416</v>
      </c>
      <c r="J129" s="1">
        <v>44417</v>
      </c>
      <c r="K129" s="1">
        <v>44418</v>
      </c>
      <c r="L129" s="1">
        <v>44419</v>
      </c>
      <c r="M129" s="1">
        <v>44420</v>
      </c>
      <c r="N129" s="1">
        <v>44421</v>
      </c>
      <c r="O129" s="1">
        <v>44422</v>
      </c>
      <c r="P129" s="1">
        <v>44423</v>
      </c>
      <c r="Q129" s="1">
        <v>44424</v>
      </c>
      <c r="R129" s="1">
        <v>44425</v>
      </c>
      <c r="S129" s="1">
        <v>44426</v>
      </c>
      <c r="T129" s="1">
        <v>44427</v>
      </c>
      <c r="U129" s="1">
        <v>44428</v>
      </c>
      <c r="V129" s="1">
        <v>44429</v>
      </c>
      <c r="W129" s="1">
        <v>44430</v>
      </c>
      <c r="X129" s="1">
        <v>44431</v>
      </c>
      <c r="Y129" s="1">
        <v>44432</v>
      </c>
      <c r="Z129" s="1">
        <v>44433</v>
      </c>
      <c r="AA129" s="1">
        <v>44434</v>
      </c>
      <c r="AB129" s="1">
        <v>44435</v>
      </c>
      <c r="AC129" s="1">
        <v>44436</v>
      </c>
      <c r="AD129" s="1">
        <v>44437</v>
      </c>
      <c r="AE129" s="1">
        <v>44438</v>
      </c>
      <c r="AF129" s="1">
        <v>44439</v>
      </c>
    </row>
    <row r="130" spans="1:34" x14ac:dyDescent="0.3">
      <c r="A130" s="2" t="s">
        <v>5</v>
      </c>
      <c r="B130">
        <v>10</v>
      </c>
      <c r="C130" s="4">
        <v>22</v>
      </c>
      <c r="D130" s="4">
        <v>22</v>
      </c>
      <c r="E130" s="4">
        <v>22</v>
      </c>
      <c r="F130">
        <v>22</v>
      </c>
      <c r="G130" s="4">
        <v>22</v>
      </c>
      <c r="H130" s="4">
        <v>32</v>
      </c>
      <c r="I130" s="4">
        <v>22</v>
      </c>
      <c r="J130" s="4">
        <v>22</v>
      </c>
      <c r="K130" s="4">
        <v>22</v>
      </c>
      <c r="L130" s="4">
        <v>22</v>
      </c>
      <c r="M130" s="4">
        <v>22</v>
      </c>
      <c r="N130" s="4">
        <v>22</v>
      </c>
      <c r="O130" s="4">
        <v>22</v>
      </c>
      <c r="P130" s="4">
        <v>22</v>
      </c>
      <c r="Q130" s="4">
        <v>22</v>
      </c>
      <c r="R130" s="4">
        <v>22</v>
      </c>
      <c r="S130" s="4">
        <v>22</v>
      </c>
      <c r="T130">
        <v>20</v>
      </c>
      <c r="U130" s="4">
        <v>22</v>
      </c>
      <c r="V130" s="4">
        <v>0</v>
      </c>
      <c r="W130" s="4">
        <v>22</v>
      </c>
      <c r="X130" s="4">
        <v>22</v>
      </c>
      <c r="Y130" s="4">
        <v>22</v>
      </c>
      <c r="Z130" s="4">
        <v>22</v>
      </c>
      <c r="AA130" s="4">
        <v>22</v>
      </c>
      <c r="AB130" s="4">
        <v>44</v>
      </c>
      <c r="AC130">
        <v>20</v>
      </c>
      <c r="AD130" s="4">
        <v>0</v>
      </c>
      <c r="AE130">
        <v>20</v>
      </c>
      <c r="AF130" s="4">
        <v>22</v>
      </c>
      <c r="AH130">
        <f>SUM(B130:AF130)</f>
        <v>652</v>
      </c>
    </row>
    <row r="131" spans="1:34" x14ac:dyDescent="0.3">
      <c r="A131" t="s">
        <v>14</v>
      </c>
      <c r="B131">
        <v>0</v>
      </c>
      <c r="C131">
        <v>5</v>
      </c>
      <c r="D131">
        <v>25</v>
      </c>
      <c r="E131">
        <v>5</v>
      </c>
      <c r="F131">
        <v>5</v>
      </c>
      <c r="G131">
        <v>5</v>
      </c>
      <c r="H131">
        <v>5</v>
      </c>
      <c r="I131">
        <v>6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6</v>
      </c>
      <c r="Q131">
        <v>5</v>
      </c>
      <c r="R131">
        <v>25</v>
      </c>
      <c r="S131">
        <v>5</v>
      </c>
      <c r="T131">
        <v>0</v>
      </c>
      <c r="U131">
        <v>5</v>
      </c>
      <c r="V131">
        <v>0</v>
      </c>
      <c r="W131">
        <v>5</v>
      </c>
      <c r="X131">
        <v>0</v>
      </c>
      <c r="Y131">
        <v>5</v>
      </c>
      <c r="Z131">
        <v>5</v>
      </c>
      <c r="AA131">
        <v>5</v>
      </c>
      <c r="AB131">
        <v>0</v>
      </c>
      <c r="AC131">
        <v>5</v>
      </c>
      <c r="AD131">
        <v>0</v>
      </c>
      <c r="AE131">
        <v>0</v>
      </c>
      <c r="AF131">
        <v>25</v>
      </c>
      <c r="AH131">
        <f>SUM(B131:AF131)</f>
        <v>182</v>
      </c>
    </row>
    <row r="132" spans="1:34" x14ac:dyDescent="0.3">
      <c r="A132" s="2" t="s">
        <v>0</v>
      </c>
      <c r="B132" s="9">
        <v>1100</v>
      </c>
      <c r="H132">
        <v>200</v>
      </c>
      <c r="O132" s="9">
        <v>500</v>
      </c>
      <c r="Q132">
        <v>205</v>
      </c>
      <c r="W132" s="9">
        <v>1010</v>
      </c>
      <c r="X132">
        <v>200</v>
      </c>
      <c r="AE132" s="9">
        <v>700</v>
      </c>
      <c r="AH132">
        <f t="shared" ref="AH132:AH147" si="7">SUM(B132:AF132)</f>
        <v>3915</v>
      </c>
    </row>
    <row r="133" spans="1:34" x14ac:dyDescent="0.3">
      <c r="A133" s="2" t="s">
        <v>16</v>
      </c>
      <c r="B133">
        <v>150</v>
      </c>
      <c r="D133">
        <v>30</v>
      </c>
      <c r="G133">
        <v>98</v>
      </c>
      <c r="H133">
        <v>54</v>
      </c>
      <c r="I133" s="4">
        <v>75</v>
      </c>
      <c r="K133">
        <v>60</v>
      </c>
      <c r="M133">
        <v>5</v>
      </c>
      <c r="N133">
        <v>30</v>
      </c>
      <c r="P133">
        <v>20</v>
      </c>
      <c r="Q133">
        <v>60</v>
      </c>
      <c r="R133" s="4">
        <v>41</v>
      </c>
      <c r="X133">
        <v>140</v>
      </c>
      <c r="Y133">
        <v>130</v>
      </c>
      <c r="AA133" s="4">
        <v>24</v>
      </c>
      <c r="AB133">
        <v>10</v>
      </c>
      <c r="AF133">
        <v>20</v>
      </c>
      <c r="AH133">
        <f t="shared" si="7"/>
        <v>947</v>
      </c>
    </row>
    <row r="134" spans="1:34" x14ac:dyDescent="0.3">
      <c r="A134" s="2" t="s">
        <v>18</v>
      </c>
      <c r="F134">
        <v>20</v>
      </c>
      <c r="H134" s="4">
        <v>88</v>
      </c>
      <c r="J134" s="4">
        <v>78</v>
      </c>
      <c r="K134" s="4">
        <v>35</v>
      </c>
      <c r="M134">
        <v>10</v>
      </c>
      <c r="N134" s="4"/>
      <c r="P134" s="4">
        <v>60</v>
      </c>
      <c r="Q134" s="4">
        <v>37</v>
      </c>
      <c r="R134" s="4">
        <v>191</v>
      </c>
      <c r="X134">
        <v>1420</v>
      </c>
      <c r="Y134">
        <v>15</v>
      </c>
      <c r="Z134" s="4">
        <v>18</v>
      </c>
      <c r="AE134">
        <v>20</v>
      </c>
      <c r="AH134">
        <f t="shared" si="7"/>
        <v>1992</v>
      </c>
    </row>
    <row r="135" spans="1:34" x14ac:dyDescent="0.3">
      <c r="A135" s="2" t="s">
        <v>2</v>
      </c>
      <c r="B135">
        <v>100</v>
      </c>
      <c r="C135">
        <v>30</v>
      </c>
      <c r="E135">
        <v>140</v>
      </c>
      <c r="H135">
        <v>26</v>
      </c>
      <c r="K135">
        <v>30</v>
      </c>
      <c r="L135">
        <v>15</v>
      </c>
      <c r="N135">
        <v>13</v>
      </c>
      <c r="O135">
        <v>70</v>
      </c>
      <c r="S135">
        <v>20</v>
      </c>
      <c r="AE135">
        <v>40</v>
      </c>
      <c r="AH135">
        <f t="shared" si="7"/>
        <v>484</v>
      </c>
    </row>
    <row r="136" spans="1:34" x14ac:dyDescent="0.3">
      <c r="A136" s="2" t="s">
        <v>19</v>
      </c>
      <c r="B136">
        <v>60</v>
      </c>
      <c r="E136">
        <v>54</v>
      </c>
      <c r="F136">
        <v>20</v>
      </c>
      <c r="G136">
        <v>20</v>
      </c>
      <c r="H136">
        <v>90</v>
      </c>
      <c r="L136">
        <v>30</v>
      </c>
      <c r="M136">
        <v>20</v>
      </c>
      <c r="O136">
        <v>10</v>
      </c>
      <c r="Q136" s="4">
        <v>17</v>
      </c>
      <c r="R136">
        <v>35</v>
      </c>
      <c r="S136">
        <v>30</v>
      </c>
      <c r="T136" s="4">
        <v>20</v>
      </c>
      <c r="Z136" s="4">
        <v>50</v>
      </c>
      <c r="AB136">
        <v>30</v>
      </c>
      <c r="AC136" s="4">
        <v>60</v>
      </c>
      <c r="AH136">
        <f t="shared" si="7"/>
        <v>546</v>
      </c>
    </row>
    <row r="137" spans="1:34" x14ac:dyDescent="0.3">
      <c r="A137" s="2" t="s">
        <v>7</v>
      </c>
      <c r="B137">
        <v>30</v>
      </c>
      <c r="K137">
        <v>30</v>
      </c>
      <c r="R137">
        <v>50</v>
      </c>
      <c r="AE137">
        <v>20</v>
      </c>
      <c r="AH137">
        <f t="shared" si="7"/>
        <v>130</v>
      </c>
    </row>
    <row r="138" spans="1:34" x14ac:dyDescent="0.3">
      <c r="A138" s="2" t="s">
        <v>15</v>
      </c>
      <c r="K138">
        <v>148</v>
      </c>
      <c r="L138">
        <v>196</v>
      </c>
      <c r="M138">
        <v>235</v>
      </c>
      <c r="N138">
        <v>279</v>
      </c>
      <c r="O138">
        <v>252</v>
      </c>
      <c r="AH138">
        <f t="shared" si="7"/>
        <v>1110</v>
      </c>
    </row>
    <row r="139" spans="1:34" x14ac:dyDescent="0.3">
      <c r="A139" s="2" t="s">
        <v>13</v>
      </c>
      <c r="M139">
        <v>200</v>
      </c>
      <c r="AH139">
        <f t="shared" si="7"/>
        <v>200</v>
      </c>
    </row>
    <row r="140" spans="1:34" x14ac:dyDescent="0.3">
      <c r="A140" s="2" t="s">
        <v>9</v>
      </c>
      <c r="H140">
        <v>320</v>
      </c>
      <c r="AH140">
        <f t="shared" si="7"/>
        <v>320</v>
      </c>
    </row>
    <row r="141" spans="1:34" x14ac:dyDescent="0.3">
      <c r="A141" s="2" t="s">
        <v>17</v>
      </c>
      <c r="AF141">
        <v>471</v>
      </c>
      <c r="AH141">
        <f>SUM(B141:AF141)</f>
        <v>471</v>
      </c>
    </row>
    <row r="142" spans="1:34" x14ac:dyDescent="0.3">
      <c r="A142" s="2" t="s">
        <v>10</v>
      </c>
      <c r="T142">
        <v>200</v>
      </c>
      <c r="U142">
        <v>200</v>
      </c>
      <c r="AH142">
        <f t="shared" si="7"/>
        <v>400</v>
      </c>
    </row>
    <row r="143" spans="1:34" x14ac:dyDescent="0.3">
      <c r="A143" s="2" t="s">
        <v>21</v>
      </c>
      <c r="S143" s="4">
        <v>381</v>
      </c>
      <c r="T143">
        <v>155</v>
      </c>
      <c r="AH143">
        <f t="shared" si="7"/>
        <v>536</v>
      </c>
    </row>
    <row r="144" spans="1:34" x14ac:dyDescent="0.3">
      <c r="A144" s="2" t="s">
        <v>6</v>
      </c>
      <c r="B144">
        <v>218</v>
      </c>
      <c r="G144">
        <v>10</v>
      </c>
      <c r="N144">
        <v>10</v>
      </c>
      <c r="O144">
        <v>60</v>
      </c>
      <c r="T144">
        <v>40</v>
      </c>
      <c r="AE144">
        <v>70</v>
      </c>
      <c r="AH144">
        <f t="shared" si="7"/>
        <v>408</v>
      </c>
    </row>
    <row r="145" spans="1:34" x14ac:dyDescent="0.3">
      <c r="A145" s="2" t="s">
        <v>20</v>
      </c>
      <c r="B145">
        <v>5</v>
      </c>
      <c r="S145">
        <v>349</v>
      </c>
      <c r="W145">
        <v>15760</v>
      </c>
      <c r="AH145">
        <f t="shared" si="7"/>
        <v>16114</v>
      </c>
    </row>
    <row r="146" spans="1:34" x14ac:dyDescent="0.3">
      <c r="A146" s="2" t="s">
        <v>12</v>
      </c>
      <c r="B146">
        <v>500</v>
      </c>
      <c r="F146">
        <v>20</v>
      </c>
      <c r="L146">
        <v>168</v>
      </c>
      <c r="P146">
        <v>600</v>
      </c>
      <c r="U146">
        <v>20</v>
      </c>
      <c r="W146" s="4">
        <v>180</v>
      </c>
      <c r="Y146">
        <v>360</v>
      </c>
      <c r="AF146">
        <v>1500</v>
      </c>
      <c r="AH146">
        <f t="shared" si="7"/>
        <v>3348</v>
      </c>
    </row>
    <row r="147" spans="1:34" x14ac:dyDescent="0.3">
      <c r="A147" s="2" t="s">
        <v>4</v>
      </c>
      <c r="B147">
        <v>10</v>
      </c>
      <c r="D147">
        <v>250</v>
      </c>
      <c r="E147">
        <v>100</v>
      </c>
      <c r="H147">
        <v>10</v>
      </c>
      <c r="J147">
        <v>20</v>
      </c>
      <c r="O147">
        <v>10</v>
      </c>
      <c r="U147">
        <v>10</v>
      </c>
      <c r="AH147">
        <f t="shared" si="7"/>
        <v>410</v>
      </c>
    </row>
    <row r="148" spans="1:34" x14ac:dyDescent="0.3">
      <c r="A148" s="2"/>
      <c r="Q148" s="6">
        <f>SUM(B130:AF147)</f>
        <v>32165</v>
      </c>
      <c r="R148">
        <v>-15760</v>
      </c>
    </row>
    <row r="149" spans="1:34" x14ac:dyDescent="0.3">
      <c r="A149" s="2"/>
      <c r="B149" s="1">
        <v>44440</v>
      </c>
      <c r="C149" s="1">
        <v>44441</v>
      </c>
      <c r="D149" s="1">
        <v>44442</v>
      </c>
      <c r="E149" s="1">
        <v>44443</v>
      </c>
      <c r="F149" s="1">
        <v>44444</v>
      </c>
      <c r="G149" s="1">
        <v>44445</v>
      </c>
      <c r="H149" s="1">
        <v>44446</v>
      </c>
      <c r="I149" s="1">
        <v>44447</v>
      </c>
      <c r="J149" s="1">
        <v>44448</v>
      </c>
      <c r="K149" s="1">
        <v>44449</v>
      </c>
      <c r="L149" s="1">
        <v>44450</v>
      </c>
      <c r="M149" s="1">
        <v>44451</v>
      </c>
      <c r="N149" s="1">
        <v>44452</v>
      </c>
      <c r="O149" s="1">
        <v>44453</v>
      </c>
      <c r="P149" s="1">
        <v>44454</v>
      </c>
      <c r="Q149" s="1">
        <v>44455</v>
      </c>
      <c r="R149" s="1">
        <v>44456</v>
      </c>
      <c r="S149" s="1">
        <v>44457</v>
      </c>
      <c r="T149" s="1">
        <v>44458</v>
      </c>
      <c r="U149" s="1">
        <v>44459</v>
      </c>
      <c r="V149" s="1">
        <v>44460</v>
      </c>
      <c r="W149" s="1">
        <v>44461</v>
      </c>
      <c r="X149" s="1">
        <v>44462</v>
      </c>
      <c r="Y149" s="1">
        <v>44463</v>
      </c>
      <c r="Z149" s="1">
        <v>44464</v>
      </c>
      <c r="AA149" s="1">
        <v>44465</v>
      </c>
      <c r="AB149" s="1">
        <v>44466</v>
      </c>
      <c r="AC149" s="1">
        <v>44467</v>
      </c>
      <c r="AD149" s="1">
        <v>44468</v>
      </c>
      <c r="AE149" s="1">
        <v>44469</v>
      </c>
    </row>
    <row r="150" spans="1:34" x14ac:dyDescent="0.3">
      <c r="A150" s="2" t="s">
        <v>5</v>
      </c>
      <c r="B150" s="4">
        <v>22</v>
      </c>
      <c r="C150" s="4">
        <v>22</v>
      </c>
      <c r="D150" s="4">
        <v>22</v>
      </c>
      <c r="E150" s="4">
        <v>22</v>
      </c>
      <c r="F150" s="4">
        <v>0</v>
      </c>
      <c r="G150" s="4">
        <v>22</v>
      </c>
      <c r="H150" s="4">
        <v>22</v>
      </c>
      <c r="I150" s="4">
        <v>22</v>
      </c>
      <c r="J150" s="4">
        <v>22</v>
      </c>
      <c r="K150" s="4">
        <v>22</v>
      </c>
      <c r="L150" s="4">
        <v>22</v>
      </c>
      <c r="M150" s="4">
        <v>0</v>
      </c>
      <c r="N150" s="4">
        <v>21</v>
      </c>
      <c r="O150" s="4">
        <v>22</v>
      </c>
      <c r="P150" s="4">
        <v>21</v>
      </c>
      <c r="Q150" s="4">
        <v>0</v>
      </c>
      <c r="R150" s="4">
        <v>21</v>
      </c>
      <c r="S150" s="4">
        <v>21</v>
      </c>
      <c r="T150" s="4">
        <v>22</v>
      </c>
      <c r="U150" s="4">
        <v>21</v>
      </c>
      <c r="V150" s="4">
        <v>21</v>
      </c>
      <c r="W150">
        <v>10</v>
      </c>
      <c r="X150" s="4">
        <v>21</v>
      </c>
      <c r="Y150" s="4">
        <v>21</v>
      </c>
      <c r="Z150" s="4">
        <v>22</v>
      </c>
      <c r="AA150" s="4">
        <v>21</v>
      </c>
      <c r="AB150">
        <v>10</v>
      </c>
      <c r="AC150" s="4">
        <v>21</v>
      </c>
      <c r="AD150" s="4">
        <v>21</v>
      </c>
      <c r="AE150" s="4">
        <v>21</v>
      </c>
      <c r="AH150">
        <f>SUM(B150:AE150)</f>
        <v>558</v>
      </c>
    </row>
    <row r="151" spans="1:34" x14ac:dyDescent="0.3">
      <c r="A151" t="s">
        <v>14</v>
      </c>
      <c r="B151">
        <v>5</v>
      </c>
      <c r="C151">
        <v>5</v>
      </c>
      <c r="D151">
        <v>5</v>
      </c>
      <c r="E151">
        <v>5</v>
      </c>
      <c r="F151">
        <v>6</v>
      </c>
      <c r="G151">
        <v>5</v>
      </c>
      <c r="H151">
        <v>5</v>
      </c>
      <c r="I151">
        <v>0</v>
      </c>
      <c r="J151">
        <v>5</v>
      </c>
      <c r="K151">
        <v>5</v>
      </c>
      <c r="L151">
        <v>0</v>
      </c>
      <c r="M151">
        <v>0</v>
      </c>
      <c r="N151">
        <v>0</v>
      </c>
      <c r="O151">
        <v>20</v>
      </c>
      <c r="P151">
        <v>0</v>
      </c>
      <c r="Q151">
        <v>5</v>
      </c>
      <c r="R151">
        <v>5</v>
      </c>
      <c r="S151">
        <v>5</v>
      </c>
      <c r="T151">
        <v>5</v>
      </c>
      <c r="U151">
        <v>0</v>
      </c>
      <c r="V151">
        <v>25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0</v>
      </c>
      <c r="AC151">
        <v>25</v>
      </c>
      <c r="AD151">
        <v>5</v>
      </c>
      <c r="AE151">
        <v>5</v>
      </c>
      <c r="AH151">
        <f>SUM(B151:AE151)</f>
        <v>171</v>
      </c>
    </row>
    <row r="152" spans="1:34" x14ac:dyDescent="0.3">
      <c r="A152" s="2" t="s">
        <v>0</v>
      </c>
      <c r="C152">
        <v>200</v>
      </c>
      <c r="F152" s="9">
        <v>1000</v>
      </c>
      <c r="O152">
        <v>202</v>
      </c>
      <c r="Z152">
        <v>200</v>
      </c>
      <c r="AH152">
        <f t="shared" ref="AH152:AH165" si="8">SUM(B152:AE152)</f>
        <v>1602</v>
      </c>
    </row>
    <row r="153" spans="1:34" x14ac:dyDescent="0.3">
      <c r="A153" s="2" t="s">
        <v>16</v>
      </c>
      <c r="E153" s="4">
        <v>10</v>
      </c>
      <c r="F153">
        <v>10</v>
      </c>
      <c r="H153">
        <v>130</v>
      </c>
      <c r="I153">
        <v>24</v>
      </c>
      <c r="J153" s="4">
        <v>51</v>
      </c>
      <c r="K153">
        <v>48</v>
      </c>
      <c r="O153">
        <v>69</v>
      </c>
      <c r="U153">
        <v>97</v>
      </c>
      <c r="V153">
        <v>20</v>
      </c>
      <c r="W153" s="4">
        <v>30</v>
      </c>
      <c r="X153">
        <v>40</v>
      </c>
      <c r="Y153">
        <v>25</v>
      </c>
      <c r="Z153" s="4">
        <v>43</v>
      </c>
      <c r="AA153">
        <v>33</v>
      </c>
      <c r="AC153">
        <v>120</v>
      </c>
      <c r="AH153">
        <f t="shared" si="8"/>
        <v>750</v>
      </c>
    </row>
    <row r="154" spans="1:34" x14ac:dyDescent="0.3">
      <c r="A154" s="2" t="s">
        <v>18</v>
      </c>
      <c r="B154">
        <v>810</v>
      </c>
      <c r="C154">
        <v>87</v>
      </c>
      <c r="G154" s="4">
        <v>352</v>
      </c>
      <c r="H154">
        <v>220</v>
      </c>
      <c r="K154">
        <v>20</v>
      </c>
      <c r="P154" s="4">
        <v>279</v>
      </c>
      <c r="Q154" s="4">
        <v>401</v>
      </c>
      <c r="T154" s="4">
        <v>20</v>
      </c>
      <c r="X154" s="4">
        <v>55</v>
      </c>
      <c r="Z154">
        <v>1765</v>
      </c>
      <c r="AA154" s="4">
        <v>125</v>
      </c>
      <c r="AB154">
        <v>10</v>
      </c>
      <c r="AC154" s="4">
        <v>55</v>
      </c>
      <c r="AE154" s="4">
        <v>60</v>
      </c>
      <c r="AH154">
        <f t="shared" si="8"/>
        <v>4259</v>
      </c>
    </row>
    <row r="155" spans="1:34" x14ac:dyDescent="0.3">
      <c r="A155" s="2" t="s">
        <v>2</v>
      </c>
      <c r="F155">
        <v>70</v>
      </c>
      <c r="O155">
        <v>31</v>
      </c>
      <c r="T155">
        <v>20</v>
      </c>
      <c r="Y155">
        <v>30</v>
      </c>
      <c r="AE155">
        <v>20</v>
      </c>
      <c r="AH155">
        <f t="shared" si="8"/>
        <v>171</v>
      </c>
    </row>
    <row r="156" spans="1:34" x14ac:dyDescent="0.3">
      <c r="A156" s="2" t="s">
        <v>19</v>
      </c>
      <c r="D156" s="4">
        <v>50</v>
      </c>
      <c r="F156">
        <v>120</v>
      </c>
      <c r="G156" s="4">
        <v>20</v>
      </c>
      <c r="J156">
        <v>10</v>
      </c>
      <c r="P156">
        <v>20</v>
      </c>
      <c r="Q156" s="4">
        <v>14</v>
      </c>
      <c r="R156">
        <v>30</v>
      </c>
      <c r="S156">
        <v>20</v>
      </c>
      <c r="T156" s="4">
        <v>87</v>
      </c>
      <c r="W156" s="4">
        <v>28</v>
      </c>
      <c r="X156" s="4">
        <v>40</v>
      </c>
      <c r="Z156" s="4">
        <v>14</v>
      </c>
      <c r="AA156" s="4">
        <v>14</v>
      </c>
      <c r="AB156">
        <v>50</v>
      </c>
      <c r="AH156">
        <f t="shared" si="8"/>
        <v>517</v>
      </c>
    </row>
    <row r="157" spans="1:34" x14ac:dyDescent="0.3">
      <c r="A157" s="2" t="s">
        <v>7</v>
      </c>
      <c r="B157">
        <v>30</v>
      </c>
      <c r="I157">
        <v>20</v>
      </c>
      <c r="J157">
        <v>20</v>
      </c>
      <c r="O157">
        <v>20</v>
      </c>
      <c r="T157">
        <v>30</v>
      </c>
      <c r="AD157">
        <v>20</v>
      </c>
      <c r="AH157">
        <f t="shared" si="8"/>
        <v>140</v>
      </c>
    </row>
    <row r="158" spans="1:34" x14ac:dyDescent="0.3">
      <c r="A158" s="2" t="s">
        <v>15</v>
      </c>
      <c r="K158">
        <v>157</v>
      </c>
      <c r="L158">
        <v>208</v>
      </c>
      <c r="M158">
        <v>306</v>
      </c>
      <c r="N158">
        <v>239</v>
      </c>
      <c r="O158">
        <v>184</v>
      </c>
      <c r="AH158">
        <f t="shared" si="8"/>
        <v>1094</v>
      </c>
    </row>
    <row r="159" spans="1:34" x14ac:dyDescent="0.3">
      <c r="A159" s="2" t="s">
        <v>13</v>
      </c>
      <c r="K159">
        <v>200</v>
      </c>
      <c r="AH159">
        <f t="shared" si="8"/>
        <v>200</v>
      </c>
    </row>
    <row r="160" spans="1:34" x14ac:dyDescent="0.3">
      <c r="A160" s="2" t="s">
        <v>9</v>
      </c>
      <c r="F160">
        <v>320</v>
      </c>
      <c r="AH160">
        <f t="shared" si="8"/>
        <v>320</v>
      </c>
    </row>
    <row r="161" spans="1:35" x14ac:dyDescent="0.3">
      <c r="A161" s="2" t="s">
        <v>17</v>
      </c>
      <c r="AE161">
        <v>471</v>
      </c>
      <c r="AH161">
        <f t="shared" si="8"/>
        <v>471</v>
      </c>
    </row>
    <row r="162" spans="1:35" x14ac:dyDescent="0.3">
      <c r="A162" s="2" t="s">
        <v>21</v>
      </c>
      <c r="J162">
        <v>185</v>
      </c>
      <c r="K162" s="4">
        <v>80</v>
      </c>
      <c r="AH162">
        <f t="shared" si="8"/>
        <v>265</v>
      </c>
    </row>
    <row r="163" spans="1:35" x14ac:dyDescent="0.3">
      <c r="A163" s="2" t="s">
        <v>6</v>
      </c>
      <c r="F163">
        <v>12</v>
      </c>
      <c r="AH163">
        <f t="shared" si="8"/>
        <v>12</v>
      </c>
    </row>
    <row r="164" spans="1:35" x14ac:dyDescent="0.3">
      <c r="A164" s="2" t="s">
        <v>20</v>
      </c>
      <c r="N164">
        <v>550</v>
      </c>
      <c r="S164" s="3"/>
      <c r="W164">
        <v>402</v>
      </c>
      <c r="Z164">
        <v>149</v>
      </c>
      <c r="AH164">
        <f t="shared" si="8"/>
        <v>1101</v>
      </c>
    </row>
    <row r="165" spans="1:35" x14ac:dyDescent="0.3">
      <c r="A165" s="2" t="s">
        <v>8</v>
      </c>
      <c r="S165" s="3"/>
      <c r="Z165">
        <v>643</v>
      </c>
      <c r="AH165">
        <f t="shared" si="8"/>
        <v>643</v>
      </c>
    </row>
    <row r="166" spans="1:35" x14ac:dyDescent="0.3">
      <c r="A166" s="2" t="s">
        <v>12</v>
      </c>
      <c r="J166">
        <v>10</v>
      </c>
      <c r="K166">
        <v>600</v>
      </c>
      <c r="L166">
        <v>500</v>
      </c>
      <c r="M166">
        <v>440</v>
      </c>
      <c r="R166">
        <v>290</v>
      </c>
      <c r="W166">
        <v>1760</v>
      </c>
      <c r="AH166">
        <f>SUM(B166:AE166)</f>
        <v>3600</v>
      </c>
    </row>
    <row r="167" spans="1:35" x14ac:dyDescent="0.3">
      <c r="A167" s="2" t="s">
        <v>4</v>
      </c>
      <c r="C167">
        <v>40</v>
      </c>
      <c r="I167">
        <v>30</v>
      </c>
      <c r="O167">
        <v>180</v>
      </c>
      <c r="P167">
        <v>10</v>
      </c>
      <c r="S167">
        <v>100</v>
      </c>
      <c r="T167">
        <v>40</v>
      </c>
      <c r="X167">
        <v>20</v>
      </c>
      <c r="AH167">
        <f>SUM(B167:AE167)</f>
        <v>420</v>
      </c>
    </row>
    <row r="168" spans="1:35" x14ac:dyDescent="0.3">
      <c r="Q168" s="6">
        <f>SUM(B150:AE167)</f>
        <v>16294</v>
      </c>
    </row>
    <row r="169" spans="1:35" x14ac:dyDescent="0.3">
      <c r="A169" s="2"/>
      <c r="B169" s="1">
        <v>44470</v>
      </c>
      <c r="C169" s="1">
        <v>44471</v>
      </c>
      <c r="D169" s="1">
        <v>44472</v>
      </c>
      <c r="E169" s="1">
        <v>44473</v>
      </c>
      <c r="F169" s="1">
        <v>44474</v>
      </c>
      <c r="G169" s="1">
        <v>44475</v>
      </c>
      <c r="H169" s="1">
        <v>44476</v>
      </c>
      <c r="I169" s="1">
        <v>44477</v>
      </c>
      <c r="J169" s="1">
        <v>44478</v>
      </c>
      <c r="K169" s="1">
        <v>44479</v>
      </c>
      <c r="L169" s="1">
        <v>44480</v>
      </c>
      <c r="M169" s="1">
        <v>44481</v>
      </c>
      <c r="N169" s="1">
        <v>44482</v>
      </c>
      <c r="O169" s="1">
        <v>44483</v>
      </c>
      <c r="P169" s="1">
        <v>44484</v>
      </c>
      <c r="Q169" s="1">
        <v>44485</v>
      </c>
      <c r="R169" s="1">
        <v>44486</v>
      </c>
      <c r="S169" s="1">
        <v>44487</v>
      </c>
      <c r="T169" s="1">
        <v>44488</v>
      </c>
      <c r="U169" s="1">
        <v>44489</v>
      </c>
      <c r="V169" s="1">
        <v>44490</v>
      </c>
      <c r="W169" s="1">
        <v>44491</v>
      </c>
      <c r="X169" s="1">
        <v>44492</v>
      </c>
      <c r="Y169" s="1">
        <v>44493</v>
      </c>
      <c r="Z169" s="1">
        <v>44494</v>
      </c>
      <c r="AA169" s="1">
        <v>44495</v>
      </c>
      <c r="AB169" s="1">
        <v>44496</v>
      </c>
      <c r="AC169" s="1">
        <v>44497</v>
      </c>
      <c r="AD169" s="1">
        <v>44498</v>
      </c>
      <c r="AE169" s="1">
        <v>44499</v>
      </c>
      <c r="AF169" s="1">
        <v>44500</v>
      </c>
    </row>
    <row r="170" spans="1:35" x14ac:dyDescent="0.3">
      <c r="A170" s="2" t="s">
        <v>5</v>
      </c>
      <c r="B170" s="4">
        <v>22</v>
      </c>
      <c r="C170" s="4">
        <v>44</v>
      </c>
      <c r="D170">
        <v>10</v>
      </c>
      <c r="E170" s="4">
        <v>22</v>
      </c>
      <c r="F170" s="4">
        <v>0</v>
      </c>
      <c r="G170">
        <v>21</v>
      </c>
      <c r="H170" s="4">
        <v>22</v>
      </c>
      <c r="I170" s="4">
        <v>18</v>
      </c>
      <c r="J170" s="4">
        <v>0</v>
      </c>
      <c r="K170" s="4">
        <v>22</v>
      </c>
      <c r="L170" s="4">
        <v>21</v>
      </c>
      <c r="M170" s="4">
        <v>22</v>
      </c>
      <c r="N170" s="4">
        <v>0</v>
      </c>
      <c r="O170" s="4">
        <v>22</v>
      </c>
      <c r="P170" s="4">
        <v>0</v>
      </c>
      <c r="Q170" s="4">
        <v>22</v>
      </c>
      <c r="R170" s="4">
        <v>0</v>
      </c>
      <c r="S170" s="4">
        <v>22</v>
      </c>
      <c r="T170" s="4">
        <v>22</v>
      </c>
      <c r="U170" s="4">
        <v>22</v>
      </c>
      <c r="V170">
        <v>10</v>
      </c>
      <c r="W170" s="4">
        <v>22</v>
      </c>
      <c r="X170" s="4">
        <v>0</v>
      </c>
      <c r="Y170" s="4">
        <v>22</v>
      </c>
      <c r="Z170" s="4">
        <v>32</v>
      </c>
      <c r="AA170" s="4">
        <v>22</v>
      </c>
      <c r="AB170">
        <v>10</v>
      </c>
      <c r="AC170" s="4">
        <v>22</v>
      </c>
      <c r="AD170">
        <v>22</v>
      </c>
      <c r="AE170" s="4">
        <v>22</v>
      </c>
      <c r="AF170">
        <v>19</v>
      </c>
      <c r="AH170">
        <f>SUM(B170:AF170)</f>
        <v>537</v>
      </c>
      <c r="AI170" s="2"/>
    </row>
    <row r="171" spans="1:35" x14ac:dyDescent="0.3">
      <c r="A171" t="s">
        <v>14</v>
      </c>
      <c r="B171">
        <v>5</v>
      </c>
      <c r="C171">
        <v>5</v>
      </c>
      <c r="D171">
        <v>5</v>
      </c>
      <c r="E171">
        <v>0</v>
      </c>
      <c r="F171">
        <v>0</v>
      </c>
      <c r="G171">
        <v>25</v>
      </c>
      <c r="H171">
        <v>5</v>
      </c>
      <c r="I171">
        <v>5</v>
      </c>
      <c r="J171">
        <v>5</v>
      </c>
      <c r="K171">
        <v>0</v>
      </c>
      <c r="L171">
        <v>0</v>
      </c>
      <c r="M171">
        <v>25</v>
      </c>
      <c r="N171">
        <v>5</v>
      </c>
      <c r="O171">
        <v>5</v>
      </c>
      <c r="P171">
        <v>0</v>
      </c>
      <c r="Q171">
        <v>0</v>
      </c>
      <c r="R171">
        <v>0</v>
      </c>
      <c r="S171">
        <v>0</v>
      </c>
      <c r="T171">
        <v>20</v>
      </c>
      <c r="U171">
        <v>5</v>
      </c>
      <c r="V171">
        <v>5</v>
      </c>
      <c r="W171">
        <v>5</v>
      </c>
      <c r="X171">
        <v>0</v>
      </c>
      <c r="Y171">
        <v>5</v>
      </c>
      <c r="Z171">
        <v>0</v>
      </c>
      <c r="AA171">
        <v>20</v>
      </c>
      <c r="AB171">
        <v>0</v>
      </c>
      <c r="AC171">
        <v>0</v>
      </c>
      <c r="AD171">
        <v>5</v>
      </c>
      <c r="AE171">
        <v>0</v>
      </c>
      <c r="AF171">
        <v>5</v>
      </c>
      <c r="AH171">
        <f>SUM(B171:AF171)</f>
        <v>160</v>
      </c>
    </row>
    <row r="172" spans="1:35" x14ac:dyDescent="0.3">
      <c r="A172" s="2" t="s">
        <v>0</v>
      </c>
      <c r="G172">
        <v>200</v>
      </c>
      <c r="K172" s="9">
        <v>1010</v>
      </c>
      <c r="P172" s="9">
        <v>1000</v>
      </c>
      <c r="V172">
        <v>200</v>
      </c>
      <c r="AE172">
        <v>200</v>
      </c>
      <c r="AH172">
        <f t="shared" ref="AH172:AH189" si="9">SUM(B172:AF172)</f>
        <v>2610</v>
      </c>
      <c r="AI172" s="2"/>
    </row>
    <row r="173" spans="1:35" x14ac:dyDescent="0.3">
      <c r="A173" s="2" t="s">
        <v>16</v>
      </c>
      <c r="B173">
        <v>20</v>
      </c>
      <c r="C173">
        <v>10</v>
      </c>
      <c r="D173">
        <v>55</v>
      </c>
      <c r="E173">
        <v>146</v>
      </c>
      <c r="H173">
        <v>40</v>
      </c>
      <c r="I173">
        <v>10</v>
      </c>
      <c r="K173">
        <v>184</v>
      </c>
      <c r="M173">
        <v>20</v>
      </c>
      <c r="N173">
        <v>103</v>
      </c>
      <c r="Q173" s="4">
        <v>20</v>
      </c>
      <c r="S173">
        <v>25</v>
      </c>
      <c r="T173">
        <v>80</v>
      </c>
      <c r="U173">
        <v>30</v>
      </c>
      <c r="V173">
        <v>53</v>
      </c>
      <c r="Y173">
        <v>25</v>
      </c>
      <c r="Z173">
        <v>10</v>
      </c>
      <c r="AA173">
        <v>20</v>
      </c>
      <c r="AB173">
        <v>88</v>
      </c>
      <c r="AE173">
        <v>139</v>
      </c>
      <c r="AF173">
        <v>40</v>
      </c>
      <c r="AH173">
        <f t="shared" si="9"/>
        <v>1118</v>
      </c>
      <c r="AI173" s="2"/>
    </row>
    <row r="174" spans="1:35" x14ac:dyDescent="0.3">
      <c r="A174" s="2" t="s">
        <v>18</v>
      </c>
      <c r="E174">
        <v>60</v>
      </c>
      <c r="F174" s="4">
        <v>318</v>
      </c>
      <c r="J174" s="4">
        <v>45</v>
      </c>
      <c r="N174" s="4">
        <v>262</v>
      </c>
      <c r="Q174" s="4">
        <v>80</v>
      </c>
      <c r="V174">
        <v>1463</v>
      </c>
      <c r="W174" s="4">
        <v>50</v>
      </c>
      <c r="Y174" s="4">
        <v>56</v>
      </c>
      <c r="AB174">
        <v>18</v>
      </c>
      <c r="AE174">
        <v>1350</v>
      </c>
      <c r="AF174">
        <v>70</v>
      </c>
      <c r="AH174">
        <f t="shared" si="9"/>
        <v>3772</v>
      </c>
      <c r="AI174" s="2"/>
    </row>
    <row r="175" spans="1:35" x14ac:dyDescent="0.3">
      <c r="A175" s="2" t="s">
        <v>2</v>
      </c>
      <c r="C175">
        <v>80</v>
      </c>
      <c r="D175">
        <v>25</v>
      </c>
      <c r="K175">
        <v>40</v>
      </c>
      <c r="M175">
        <v>40</v>
      </c>
      <c r="Q175" s="4">
        <v>50</v>
      </c>
      <c r="S175">
        <v>100</v>
      </c>
      <c r="U175">
        <v>55</v>
      </c>
      <c r="Y175">
        <v>30</v>
      </c>
      <c r="Z175">
        <v>10</v>
      </c>
      <c r="AB175">
        <v>50</v>
      </c>
      <c r="AF175">
        <v>130</v>
      </c>
      <c r="AH175">
        <f t="shared" si="9"/>
        <v>610</v>
      </c>
      <c r="AI175" s="2"/>
    </row>
    <row r="176" spans="1:35" x14ac:dyDescent="0.3">
      <c r="A176" s="2" t="s">
        <v>19</v>
      </c>
      <c r="B176" s="4">
        <v>14</v>
      </c>
      <c r="C176" s="4">
        <v>14</v>
      </c>
      <c r="D176">
        <v>90</v>
      </c>
      <c r="E176" s="4">
        <v>34</v>
      </c>
      <c r="F176">
        <v>100</v>
      </c>
      <c r="G176">
        <v>110</v>
      </c>
      <c r="H176" s="4">
        <v>14</v>
      </c>
      <c r="K176">
        <v>70</v>
      </c>
      <c r="Q176" s="4">
        <v>100</v>
      </c>
      <c r="S176">
        <v>20</v>
      </c>
      <c r="V176">
        <v>40</v>
      </c>
      <c r="Y176">
        <v>201</v>
      </c>
      <c r="AB176">
        <v>50</v>
      </c>
      <c r="AC176">
        <v>15</v>
      </c>
      <c r="AH176">
        <f t="shared" si="9"/>
        <v>872</v>
      </c>
      <c r="AI176" s="2"/>
    </row>
    <row r="177" spans="1:35" x14ac:dyDescent="0.3">
      <c r="A177" s="2" t="s">
        <v>7</v>
      </c>
      <c r="F177">
        <v>30</v>
      </c>
      <c r="M177">
        <v>10</v>
      </c>
      <c r="N177">
        <v>50</v>
      </c>
      <c r="S177">
        <v>40</v>
      </c>
      <c r="Y177">
        <v>10</v>
      </c>
      <c r="AE177">
        <v>30</v>
      </c>
      <c r="AH177">
        <f t="shared" si="9"/>
        <v>170</v>
      </c>
      <c r="AI177" s="2"/>
    </row>
    <row r="178" spans="1:35" x14ac:dyDescent="0.3">
      <c r="A178" s="2" t="s">
        <v>15</v>
      </c>
      <c r="K178">
        <v>156</v>
      </c>
      <c r="L178">
        <v>362</v>
      </c>
      <c r="M178">
        <v>260</v>
      </c>
      <c r="N178">
        <v>279</v>
      </c>
      <c r="O178">
        <v>199</v>
      </c>
      <c r="AH178">
        <f t="shared" si="9"/>
        <v>1256</v>
      </c>
      <c r="AI178" s="2"/>
    </row>
    <row r="179" spans="1:35" x14ac:dyDescent="0.3">
      <c r="A179" s="2" t="s">
        <v>13</v>
      </c>
      <c r="K179">
        <v>200</v>
      </c>
      <c r="L179" s="3"/>
      <c r="M179" s="3"/>
      <c r="N179" s="3"/>
      <c r="O179" s="3"/>
      <c r="AH179">
        <f t="shared" si="9"/>
        <v>200</v>
      </c>
      <c r="AI179" s="2"/>
    </row>
    <row r="180" spans="1:35" x14ac:dyDescent="0.3">
      <c r="A180" s="2" t="s">
        <v>9</v>
      </c>
      <c r="D180">
        <v>320</v>
      </c>
      <c r="AH180">
        <f t="shared" si="9"/>
        <v>320</v>
      </c>
      <c r="AI180" s="2"/>
    </row>
    <row r="181" spans="1:35" x14ac:dyDescent="0.3">
      <c r="A181" s="2" t="s">
        <v>17</v>
      </c>
      <c r="L181">
        <v>106</v>
      </c>
      <c r="AD181" s="3"/>
      <c r="AH181">
        <f t="shared" si="9"/>
        <v>106</v>
      </c>
      <c r="AI181" s="2"/>
    </row>
    <row r="182" spans="1:35" x14ac:dyDescent="0.3">
      <c r="A182" s="2" t="s">
        <v>11</v>
      </c>
      <c r="C182">
        <v>900</v>
      </c>
      <c r="AH182">
        <f t="shared" si="9"/>
        <v>900</v>
      </c>
      <c r="AI182" s="2"/>
    </row>
    <row r="183" spans="1:35" x14ac:dyDescent="0.3">
      <c r="A183" s="2" t="s">
        <v>21</v>
      </c>
      <c r="M183">
        <v>25</v>
      </c>
      <c r="N183" s="4">
        <v>76</v>
      </c>
      <c r="AH183">
        <f t="shared" si="9"/>
        <v>101</v>
      </c>
      <c r="AI183" s="2"/>
    </row>
    <row r="184" spans="1:35" x14ac:dyDescent="0.3">
      <c r="A184" s="2" t="s">
        <v>23</v>
      </c>
      <c r="N184" s="4"/>
      <c r="Q184">
        <v>180</v>
      </c>
      <c r="AH184">
        <f t="shared" si="9"/>
        <v>180</v>
      </c>
      <c r="AI184" s="2"/>
    </row>
    <row r="185" spans="1:35" x14ac:dyDescent="0.3">
      <c r="A185" s="2" t="s">
        <v>6</v>
      </c>
      <c r="K185">
        <v>85</v>
      </c>
      <c r="AH185">
        <f t="shared" si="9"/>
        <v>85</v>
      </c>
      <c r="AI185" s="2"/>
    </row>
    <row r="186" spans="1:35" x14ac:dyDescent="0.3">
      <c r="A186" s="2" t="s">
        <v>20</v>
      </c>
      <c r="B186">
        <v>200</v>
      </c>
      <c r="C186">
        <v>150</v>
      </c>
      <c r="D186">
        <v>402</v>
      </c>
      <c r="M186">
        <v>3411</v>
      </c>
      <c r="N186" s="3"/>
      <c r="O186">
        <v>346</v>
      </c>
      <c r="W186">
        <v>832</v>
      </c>
      <c r="X186">
        <v>300</v>
      </c>
      <c r="Y186">
        <v>151</v>
      </c>
      <c r="AF186">
        <v>140</v>
      </c>
      <c r="AH186">
        <f t="shared" si="9"/>
        <v>5932</v>
      </c>
      <c r="AI186" s="2"/>
    </row>
    <row r="187" spans="1:35" x14ac:dyDescent="0.3">
      <c r="A187" s="2" t="s">
        <v>8</v>
      </c>
      <c r="F187">
        <v>267</v>
      </c>
      <c r="G187">
        <v>774</v>
      </c>
      <c r="I187">
        <v>40</v>
      </c>
      <c r="AA187">
        <v>30</v>
      </c>
      <c r="AH187">
        <f t="shared" si="9"/>
        <v>1111</v>
      </c>
      <c r="AI187" s="2"/>
    </row>
    <row r="188" spans="1:35" x14ac:dyDescent="0.3">
      <c r="A188" s="2" t="s">
        <v>12</v>
      </c>
      <c r="I188">
        <v>10</v>
      </c>
      <c r="K188">
        <v>600</v>
      </c>
      <c r="L188" s="3"/>
      <c r="M188">
        <v>62021</v>
      </c>
      <c r="AA188">
        <v>10</v>
      </c>
      <c r="AF188">
        <v>170</v>
      </c>
      <c r="AH188">
        <f t="shared" si="9"/>
        <v>62811</v>
      </c>
      <c r="AI188" s="2"/>
    </row>
    <row r="189" spans="1:35" x14ac:dyDescent="0.3">
      <c r="A189" s="2" t="s">
        <v>4</v>
      </c>
      <c r="G189">
        <v>210</v>
      </c>
      <c r="S189">
        <v>310</v>
      </c>
      <c r="AF189">
        <v>10</v>
      </c>
      <c r="AH189">
        <f t="shared" si="9"/>
        <v>530</v>
      </c>
      <c r="AI189" s="2"/>
    </row>
    <row r="190" spans="1:35" x14ac:dyDescent="0.3">
      <c r="Q190" s="6">
        <f>SUM(B170:AF189)</f>
        <v>83381</v>
      </c>
      <c r="R190">
        <v>-62021</v>
      </c>
      <c r="S190">
        <v>-3411</v>
      </c>
    </row>
    <row r="191" spans="1:35" x14ac:dyDescent="0.3">
      <c r="A191" s="2"/>
      <c r="B191" s="1">
        <v>44501</v>
      </c>
      <c r="C191" s="1">
        <v>44502</v>
      </c>
      <c r="D191" s="1">
        <v>44503</v>
      </c>
      <c r="E191" s="1">
        <v>44504</v>
      </c>
      <c r="F191" s="1">
        <v>44505</v>
      </c>
      <c r="G191" s="1">
        <v>44506</v>
      </c>
      <c r="H191" s="1">
        <v>44507</v>
      </c>
      <c r="I191" s="1">
        <v>44508</v>
      </c>
      <c r="J191" s="1">
        <v>44509</v>
      </c>
      <c r="K191" s="1">
        <v>44510</v>
      </c>
      <c r="L191" s="1">
        <v>44511</v>
      </c>
      <c r="M191" s="1">
        <v>44512</v>
      </c>
      <c r="N191" s="1">
        <v>44513</v>
      </c>
      <c r="O191" s="1">
        <v>44514</v>
      </c>
      <c r="P191" s="1">
        <v>44515</v>
      </c>
      <c r="Q191" s="1">
        <v>44516</v>
      </c>
      <c r="R191" s="1">
        <v>44517</v>
      </c>
      <c r="S191" s="1">
        <v>44518</v>
      </c>
      <c r="T191" s="1">
        <v>44519</v>
      </c>
      <c r="U191" s="1">
        <v>44520</v>
      </c>
      <c r="V191" s="1">
        <v>44521</v>
      </c>
      <c r="W191" s="1">
        <v>44522</v>
      </c>
      <c r="X191" s="1">
        <v>44523</v>
      </c>
      <c r="Y191" s="1">
        <v>44524</v>
      </c>
      <c r="Z191" s="1">
        <v>44525</v>
      </c>
      <c r="AA191" s="1">
        <v>44526</v>
      </c>
      <c r="AB191" s="1">
        <v>44527</v>
      </c>
      <c r="AC191" s="1">
        <v>44528</v>
      </c>
      <c r="AD191" s="1">
        <v>44529</v>
      </c>
      <c r="AE191" s="1">
        <v>44530</v>
      </c>
    </row>
    <row r="192" spans="1:35" x14ac:dyDescent="0.3">
      <c r="A192" s="2" t="s">
        <v>5</v>
      </c>
      <c r="B192" s="4">
        <v>22</v>
      </c>
      <c r="C192">
        <v>22</v>
      </c>
      <c r="D192">
        <v>22</v>
      </c>
      <c r="E192">
        <v>0</v>
      </c>
      <c r="F192" s="4">
        <v>22</v>
      </c>
      <c r="G192" s="4">
        <v>22</v>
      </c>
      <c r="H192" s="4">
        <v>22</v>
      </c>
      <c r="I192">
        <v>22</v>
      </c>
      <c r="J192" s="4">
        <v>22</v>
      </c>
      <c r="K192" s="4">
        <v>22</v>
      </c>
      <c r="L192">
        <v>22</v>
      </c>
      <c r="M192">
        <v>22</v>
      </c>
      <c r="N192" s="4">
        <v>19</v>
      </c>
      <c r="O192">
        <v>19</v>
      </c>
      <c r="P192">
        <v>22</v>
      </c>
      <c r="Q192">
        <v>10</v>
      </c>
      <c r="R192">
        <v>20</v>
      </c>
      <c r="S192">
        <v>22</v>
      </c>
      <c r="T192" s="4">
        <v>22</v>
      </c>
      <c r="U192" s="4">
        <v>19</v>
      </c>
      <c r="V192" s="4">
        <v>22</v>
      </c>
      <c r="W192" s="4">
        <v>22</v>
      </c>
      <c r="X192" s="4">
        <v>22</v>
      </c>
      <c r="Y192" s="4">
        <v>0</v>
      </c>
      <c r="Z192" s="4">
        <v>22</v>
      </c>
      <c r="AA192" s="4">
        <v>22</v>
      </c>
      <c r="AB192" s="4">
        <v>32</v>
      </c>
      <c r="AC192" s="4">
        <v>22</v>
      </c>
      <c r="AD192" s="4">
        <v>0</v>
      </c>
      <c r="AE192" s="4">
        <v>22</v>
      </c>
      <c r="AH192">
        <f>SUM(B192:AE192)</f>
        <v>581</v>
      </c>
    </row>
    <row r="193" spans="1:34" x14ac:dyDescent="0.3">
      <c r="A193" t="s">
        <v>14</v>
      </c>
      <c r="B193">
        <v>0</v>
      </c>
      <c r="D193">
        <v>5</v>
      </c>
      <c r="E193">
        <v>0</v>
      </c>
      <c r="F193">
        <v>5</v>
      </c>
      <c r="G193">
        <v>0</v>
      </c>
      <c r="H193">
        <v>5</v>
      </c>
      <c r="I193">
        <v>0</v>
      </c>
      <c r="J193">
        <v>20</v>
      </c>
      <c r="K193">
        <v>0</v>
      </c>
      <c r="L193">
        <v>0</v>
      </c>
      <c r="M193">
        <v>0</v>
      </c>
      <c r="N193">
        <v>5</v>
      </c>
      <c r="O193">
        <v>5</v>
      </c>
      <c r="P193">
        <v>0</v>
      </c>
      <c r="Q193">
        <v>20</v>
      </c>
      <c r="R193">
        <v>0</v>
      </c>
      <c r="S193">
        <v>0</v>
      </c>
      <c r="T193">
        <v>0</v>
      </c>
      <c r="U193">
        <v>0</v>
      </c>
      <c r="V193">
        <v>5</v>
      </c>
      <c r="W193">
        <v>0</v>
      </c>
      <c r="X193">
        <v>20</v>
      </c>
      <c r="Y193">
        <v>0</v>
      </c>
      <c r="Z193">
        <v>0</v>
      </c>
      <c r="AA193">
        <v>0</v>
      </c>
      <c r="AB193">
        <v>5</v>
      </c>
      <c r="AC193">
        <v>0</v>
      </c>
      <c r="AE193">
        <v>20</v>
      </c>
      <c r="AH193">
        <f>SUM(B193:AE193)</f>
        <v>115</v>
      </c>
    </row>
    <row r="194" spans="1:34" x14ac:dyDescent="0.3">
      <c r="A194" s="2" t="s">
        <v>0</v>
      </c>
      <c r="B194">
        <v>5</v>
      </c>
      <c r="D194">
        <v>150</v>
      </c>
      <c r="J194">
        <v>200</v>
      </c>
      <c r="O194" s="9">
        <v>1010</v>
      </c>
      <c r="U194">
        <v>200</v>
      </c>
      <c r="AC194" s="9">
        <v>1000</v>
      </c>
      <c r="AE194">
        <v>202</v>
      </c>
      <c r="AH194">
        <f t="shared" ref="AH194:AH204" si="10">SUM(B194:AE194)</f>
        <v>2767</v>
      </c>
    </row>
    <row r="195" spans="1:34" x14ac:dyDescent="0.3">
      <c r="A195" s="2" t="s">
        <v>16</v>
      </c>
      <c r="F195">
        <v>106</v>
      </c>
      <c r="H195">
        <v>150</v>
      </c>
      <c r="J195" s="4">
        <v>20</v>
      </c>
      <c r="K195">
        <v>40</v>
      </c>
      <c r="N195">
        <v>150</v>
      </c>
      <c r="V195">
        <v>100</v>
      </c>
      <c r="X195">
        <v>50</v>
      </c>
      <c r="Z195">
        <v>143</v>
      </c>
      <c r="AB195" s="4">
        <v>46</v>
      </c>
      <c r="AE195">
        <v>45</v>
      </c>
      <c r="AH195">
        <f t="shared" si="10"/>
        <v>850</v>
      </c>
    </row>
    <row r="196" spans="1:34" x14ac:dyDescent="0.3">
      <c r="A196" s="2" t="s">
        <v>18</v>
      </c>
      <c r="C196" s="4">
        <v>51</v>
      </c>
      <c r="F196" s="4">
        <v>80</v>
      </c>
      <c r="H196" s="4">
        <v>280</v>
      </c>
      <c r="K196">
        <v>18</v>
      </c>
      <c r="M196">
        <v>1780</v>
      </c>
      <c r="N196" s="4">
        <v>373</v>
      </c>
      <c r="O196" s="4">
        <v>239</v>
      </c>
      <c r="Q196" s="4">
        <v>170</v>
      </c>
      <c r="T196" s="4">
        <v>482</v>
      </c>
      <c r="U196">
        <v>735</v>
      </c>
      <c r="W196" s="4">
        <v>212</v>
      </c>
      <c r="AH196">
        <f t="shared" si="10"/>
        <v>4420</v>
      </c>
    </row>
    <row r="197" spans="1:34" x14ac:dyDescent="0.3">
      <c r="A197" s="2" t="s">
        <v>2</v>
      </c>
      <c r="D197">
        <v>26</v>
      </c>
      <c r="H197">
        <v>72</v>
      </c>
      <c r="O197">
        <v>290</v>
      </c>
      <c r="U197" s="4">
        <v>30</v>
      </c>
      <c r="V197">
        <v>20</v>
      </c>
      <c r="X197">
        <v>105</v>
      </c>
      <c r="Z197">
        <v>40</v>
      </c>
      <c r="AB197" s="4">
        <v>30</v>
      </c>
      <c r="AC197">
        <v>130</v>
      </c>
      <c r="AH197">
        <f t="shared" si="10"/>
        <v>743</v>
      </c>
    </row>
    <row r="198" spans="1:34" x14ac:dyDescent="0.3">
      <c r="A198" s="2" t="s">
        <v>19</v>
      </c>
      <c r="B198" s="4">
        <v>25</v>
      </c>
      <c r="D198">
        <v>70</v>
      </c>
      <c r="F198" s="4">
        <v>25</v>
      </c>
      <c r="H198">
        <v>20</v>
      </c>
      <c r="M198">
        <v>20</v>
      </c>
      <c r="O198">
        <v>160</v>
      </c>
      <c r="P198">
        <v>50</v>
      </c>
      <c r="R198">
        <v>50</v>
      </c>
      <c r="T198">
        <v>50</v>
      </c>
      <c r="V198" s="4">
        <v>55</v>
      </c>
      <c r="Y198">
        <v>10</v>
      </c>
      <c r="AA198">
        <v>45</v>
      </c>
      <c r="AC198">
        <v>100</v>
      </c>
      <c r="AH198">
        <f t="shared" si="10"/>
        <v>680</v>
      </c>
    </row>
    <row r="199" spans="1:34" x14ac:dyDescent="0.3">
      <c r="A199" s="2" t="s">
        <v>7</v>
      </c>
      <c r="F199">
        <v>30</v>
      </c>
      <c r="J199">
        <v>30</v>
      </c>
      <c r="U199">
        <v>40</v>
      </c>
      <c r="Y199">
        <v>50</v>
      </c>
      <c r="AH199">
        <f t="shared" si="10"/>
        <v>150</v>
      </c>
    </row>
    <row r="200" spans="1:34" x14ac:dyDescent="0.3">
      <c r="A200" s="2" t="s">
        <v>15</v>
      </c>
      <c r="K200">
        <v>139</v>
      </c>
      <c r="L200">
        <v>268</v>
      </c>
      <c r="M200">
        <v>315</v>
      </c>
      <c r="N200">
        <v>279</v>
      </c>
      <c r="O200">
        <v>206</v>
      </c>
      <c r="AH200">
        <f t="shared" si="10"/>
        <v>1207</v>
      </c>
    </row>
    <row r="201" spans="1:34" x14ac:dyDescent="0.3">
      <c r="A201" s="2" t="s">
        <v>13</v>
      </c>
      <c r="K201">
        <v>200</v>
      </c>
      <c r="AH201">
        <f t="shared" si="10"/>
        <v>200</v>
      </c>
    </row>
    <row r="202" spans="1:34" x14ac:dyDescent="0.3">
      <c r="A202" s="2" t="s">
        <v>9</v>
      </c>
      <c r="G202">
        <v>320</v>
      </c>
      <c r="AH202">
        <f t="shared" si="10"/>
        <v>320</v>
      </c>
    </row>
    <row r="203" spans="1:34" x14ac:dyDescent="0.3">
      <c r="A203" s="2" t="s">
        <v>17</v>
      </c>
      <c r="C203">
        <v>471</v>
      </c>
      <c r="AH203">
        <f t="shared" si="10"/>
        <v>471</v>
      </c>
    </row>
    <row r="204" spans="1:34" x14ac:dyDescent="0.3">
      <c r="A204" s="2" t="s">
        <v>1</v>
      </c>
      <c r="K204">
        <v>95</v>
      </c>
      <c r="AH204">
        <f t="shared" si="10"/>
        <v>95</v>
      </c>
    </row>
    <row r="205" spans="1:34" x14ac:dyDescent="0.3">
      <c r="A205" s="2" t="s">
        <v>20</v>
      </c>
      <c r="B205" s="1"/>
      <c r="F205">
        <v>397</v>
      </c>
      <c r="G205">
        <v>635</v>
      </c>
      <c r="H205">
        <v>200</v>
      </c>
      <c r="I205">
        <v>58</v>
      </c>
      <c r="J205">
        <v>400</v>
      </c>
      <c r="AC205">
        <v>151</v>
      </c>
      <c r="AH205">
        <f>SUM(B205:AE205)</f>
        <v>1841</v>
      </c>
    </row>
    <row r="206" spans="1:34" x14ac:dyDescent="0.3">
      <c r="A206" s="2" t="s">
        <v>12</v>
      </c>
      <c r="B206">
        <v>750</v>
      </c>
      <c r="D206">
        <v>1100</v>
      </c>
      <c r="H206">
        <v>170</v>
      </c>
      <c r="Y206">
        <v>600</v>
      </c>
      <c r="Z206">
        <v>150</v>
      </c>
      <c r="AA206">
        <v>193</v>
      </c>
      <c r="AH206">
        <f>SUM(B206:AE206)</f>
        <v>2963</v>
      </c>
    </row>
    <row r="207" spans="1:34" x14ac:dyDescent="0.3">
      <c r="A207" s="2" t="s">
        <v>4</v>
      </c>
      <c r="B207">
        <v>15</v>
      </c>
      <c r="H207">
        <v>70</v>
      </c>
      <c r="J207">
        <v>30</v>
      </c>
      <c r="P207">
        <v>30</v>
      </c>
      <c r="X207">
        <v>40</v>
      </c>
      <c r="AE207">
        <v>10</v>
      </c>
      <c r="AH207">
        <f>SUM(B207:AE207)</f>
        <v>195</v>
      </c>
    </row>
    <row r="208" spans="1:34" x14ac:dyDescent="0.3">
      <c r="A208" s="2"/>
      <c r="B208" s="1"/>
      <c r="D208" s="1"/>
      <c r="F208" s="1"/>
      <c r="H208" s="1"/>
      <c r="Q208" s="6">
        <f>SUM(B192:AE206)</f>
        <v>17403</v>
      </c>
    </row>
    <row r="209" spans="1:34" x14ac:dyDescent="0.3">
      <c r="A209" s="2"/>
      <c r="B209" s="1">
        <v>44531</v>
      </c>
      <c r="C209" s="1">
        <v>44532</v>
      </c>
      <c r="D209" s="1">
        <v>44533</v>
      </c>
      <c r="E209" s="1">
        <v>44534</v>
      </c>
      <c r="F209" s="1">
        <v>44535</v>
      </c>
      <c r="G209" s="1">
        <v>44536</v>
      </c>
      <c r="H209" s="1">
        <v>44537</v>
      </c>
      <c r="I209" s="1">
        <v>44538</v>
      </c>
      <c r="J209" s="1">
        <v>44539</v>
      </c>
      <c r="K209" s="1">
        <v>44540</v>
      </c>
      <c r="L209" s="1">
        <v>44541</v>
      </c>
      <c r="M209" s="1">
        <v>44542</v>
      </c>
      <c r="N209" s="1">
        <v>44543</v>
      </c>
      <c r="O209" s="1">
        <v>44544</v>
      </c>
      <c r="P209" s="1">
        <v>44545</v>
      </c>
      <c r="Q209" s="1">
        <v>44546</v>
      </c>
      <c r="R209" s="1">
        <v>44547</v>
      </c>
      <c r="S209" s="1">
        <v>44548</v>
      </c>
      <c r="T209" s="1">
        <v>44549</v>
      </c>
      <c r="U209" s="1">
        <v>44550</v>
      </c>
      <c r="V209" s="1">
        <v>44551</v>
      </c>
      <c r="W209" s="1">
        <v>44552</v>
      </c>
      <c r="X209" s="1">
        <v>44553</v>
      </c>
      <c r="Y209" s="1">
        <v>44554</v>
      </c>
      <c r="Z209" s="1">
        <v>44555</v>
      </c>
      <c r="AA209" s="1">
        <v>44556</v>
      </c>
      <c r="AB209" s="1">
        <v>44557</v>
      </c>
      <c r="AC209" s="1">
        <v>44558</v>
      </c>
      <c r="AD209" s="1">
        <v>44559</v>
      </c>
      <c r="AE209" s="1">
        <v>44560</v>
      </c>
      <c r="AF209" s="1">
        <v>44561</v>
      </c>
    </row>
    <row r="210" spans="1:34" x14ac:dyDescent="0.3">
      <c r="A210" s="2" t="s">
        <v>5</v>
      </c>
      <c r="B210" s="4">
        <v>22</v>
      </c>
      <c r="C210" s="4">
        <v>22</v>
      </c>
      <c r="D210">
        <v>0</v>
      </c>
      <c r="E210" s="4">
        <v>22</v>
      </c>
      <c r="F210">
        <v>22</v>
      </c>
      <c r="G210" s="4">
        <v>32</v>
      </c>
      <c r="H210" s="4">
        <v>21</v>
      </c>
      <c r="I210" s="4">
        <v>22</v>
      </c>
      <c r="J210" s="4">
        <v>19</v>
      </c>
      <c r="K210" s="4">
        <v>21</v>
      </c>
      <c r="L210" s="4">
        <v>21</v>
      </c>
      <c r="M210" s="4">
        <v>0</v>
      </c>
      <c r="N210">
        <v>22</v>
      </c>
      <c r="O210" s="4">
        <v>32</v>
      </c>
      <c r="P210" s="4">
        <v>0</v>
      </c>
      <c r="Q210" s="4">
        <v>22</v>
      </c>
      <c r="R210" s="4">
        <v>21</v>
      </c>
      <c r="S210" s="4">
        <v>22</v>
      </c>
      <c r="T210" s="4">
        <v>21</v>
      </c>
      <c r="U210" s="4">
        <v>32</v>
      </c>
      <c r="V210" s="4">
        <v>22</v>
      </c>
      <c r="W210" s="4">
        <v>21</v>
      </c>
      <c r="X210">
        <v>22</v>
      </c>
      <c r="Y210" s="4">
        <v>22</v>
      </c>
      <c r="Z210" s="4">
        <v>21</v>
      </c>
      <c r="AA210" s="4">
        <v>0</v>
      </c>
      <c r="AB210">
        <v>32</v>
      </c>
      <c r="AC210">
        <v>22</v>
      </c>
      <c r="AD210" s="4">
        <v>22</v>
      </c>
      <c r="AE210">
        <v>22</v>
      </c>
      <c r="AF210" s="4">
        <v>22</v>
      </c>
      <c r="AH210">
        <f>SUM(B210:AF210)</f>
        <v>624</v>
      </c>
    </row>
    <row r="211" spans="1:34" x14ac:dyDescent="0.3">
      <c r="A211" t="s">
        <v>14</v>
      </c>
      <c r="B211">
        <v>0</v>
      </c>
      <c r="C211">
        <v>0</v>
      </c>
      <c r="D211">
        <v>0</v>
      </c>
      <c r="E211">
        <v>0</v>
      </c>
      <c r="F211">
        <v>0</v>
      </c>
      <c r="H211">
        <v>20</v>
      </c>
      <c r="I211">
        <v>0</v>
      </c>
      <c r="J211">
        <v>0</v>
      </c>
      <c r="K211">
        <v>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5</v>
      </c>
      <c r="S211">
        <v>0</v>
      </c>
      <c r="T211">
        <v>5</v>
      </c>
      <c r="U211">
        <v>0</v>
      </c>
      <c r="V211">
        <v>0</v>
      </c>
      <c r="W211">
        <v>0</v>
      </c>
      <c r="X211">
        <v>5</v>
      </c>
      <c r="Y211">
        <v>5</v>
      </c>
      <c r="Z211">
        <v>5</v>
      </c>
      <c r="AA211">
        <v>0</v>
      </c>
      <c r="AB211">
        <v>0</v>
      </c>
      <c r="AD211">
        <v>0</v>
      </c>
      <c r="AE211">
        <v>0</v>
      </c>
      <c r="AF211">
        <v>0</v>
      </c>
      <c r="AH211">
        <f>SUM(B211:AF211)</f>
        <v>50</v>
      </c>
    </row>
    <row r="212" spans="1:34" x14ac:dyDescent="0.3">
      <c r="A212" s="2" t="s">
        <v>0</v>
      </c>
      <c r="F212" s="9">
        <v>1000</v>
      </c>
      <c r="I212">
        <v>200</v>
      </c>
      <c r="M212" s="9">
        <v>1500</v>
      </c>
      <c r="T212">
        <v>2</v>
      </c>
      <c r="U212">
        <v>202</v>
      </c>
      <c r="X212">
        <v>200</v>
      </c>
      <c r="AA212" s="9">
        <v>1010</v>
      </c>
      <c r="AH212">
        <f t="shared" ref="AH212:AH230" si="11">SUM(B212:AF212)</f>
        <v>4114</v>
      </c>
    </row>
    <row r="213" spans="1:34" x14ac:dyDescent="0.3">
      <c r="A213" s="2" t="s">
        <v>16</v>
      </c>
      <c r="B213">
        <v>20</v>
      </c>
      <c r="C213">
        <v>80</v>
      </c>
      <c r="G213">
        <v>60</v>
      </c>
      <c r="I213" s="4">
        <v>46</v>
      </c>
      <c r="L213">
        <v>184</v>
      </c>
      <c r="O213">
        <v>80</v>
      </c>
      <c r="P213">
        <v>30</v>
      </c>
      <c r="R213">
        <v>40</v>
      </c>
      <c r="T213">
        <v>425</v>
      </c>
      <c r="AC213">
        <v>20</v>
      </c>
      <c r="AD213">
        <v>10</v>
      </c>
      <c r="AE213">
        <v>95</v>
      </c>
      <c r="AH213">
        <f t="shared" si="11"/>
        <v>1090</v>
      </c>
    </row>
    <row r="214" spans="1:34" x14ac:dyDescent="0.3">
      <c r="A214" s="2" t="s">
        <v>18</v>
      </c>
      <c r="D214" s="4">
        <v>111</v>
      </c>
      <c r="E214">
        <v>618</v>
      </c>
      <c r="J214" s="4">
        <v>150</v>
      </c>
      <c r="K214" s="4">
        <v>15</v>
      </c>
      <c r="L214">
        <v>1195</v>
      </c>
      <c r="M214" s="4">
        <v>661</v>
      </c>
      <c r="N214" s="4"/>
      <c r="T214" s="4">
        <v>149</v>
      </c>
      <c r="V214" s="4">
        <v>176</v>
      </c>
      <c r="AH214">
        <f t="shared" si="11"/>
        <v>3075</v>
      </c>
    </row>
    <row r="215" spans="1:34" x14ac:dyDescent="0.3">
      <c r="A215" s="2" t="s">
        <v>2</v>
      </c>
      <c r="B215">
        <v>22</v>
      </c>
      <c r="E215">
        <v>20</v>
      </c>
      <c r="K215">
        <v>40</v>
      </c>
      <c r="L215" s="4">
        <v>30</v>
      </c>
      <c r="M215">
        <v>20</v>
      </c>
      <c r="O215">
        <v>100</v>
      </c>
      <c r="T215">
        <v>120</v>
      </c>
      <c r="Y215">
        <v>20</v>
      </c>
      <c r="Z215">
        <v>20</v>
      </c>
      <c r="AA215">
        <v>23</v>
      </c>
      <c r="AF215">
        <v>20</v>
      </c>
      <c r="AH215">
        <f t="shared" si="11"/>
        <v>435</v>
      </c>
    </row>
    <row r="216" spans="1:34" x14ac:dyDescent="0.3">
      <c r="A216" s="2" t="s">
        <v>19</v>
      </c>
      <c r="B216">
        <v>15</v>
      </c>
      <c r="I216">
        <v>60</v>
      </c>
      <c r="K216" s="4">
        <v>25</v>
      </c>
      <c r="L216">
        <v>60</v>
      </c>
      <c r="P216">
        <v>30</v>
      </c>
      <c r="R216">
        <v>20</v>
      </c>
      <c r="W216">
        <v>50</v>
      </c>
      <c r="X216">
        <v>20</v>
      </c>
      <c r="Y216">
        <v>140</v>
      </c>
      <c r="AC216">
        <v>30</v>
      </c>
      <c r="AE216">
        <v>50</v>
      </c>
      <c r="AH216">
        <f t="shared" si="11"/>
        <v>500</v>
      </c>
    </row>
    <row r="217" spans="1:34" x14ac:dyDescent="0.3">
      <c r="A217" s="2" t="s">
        <v>7</v>
      </c>
      <c r="I217">
        <v>30</v>
      </c>
      <c r="O217">
        <v>80</v>
      </c>
      <c r="AH217">
        <f t="shared" si="11"/>
        <v>110</v>
      </c>
    </row>
    <row r="218" spans="1:34" x14ac:dyDescent="0.3">
      <c r="A218" s="2" t="s">
        <v>15</v>
      </c>
      <c r="K218">
        <v>204</v>
      </c>
      <c r="L218">
        <v>329</v>
      </c>
      <c r="M218">
        <v>270</v>
      </c>
      <c r="N218">
        <v>241</v>
      </c>
      <c r="O218">
        <v>191</v>
      </c>
      <c r="AH218">
        <f t="shared" si="11"/>
        <v>1235</v>
      </c>
    </row>
    <row r="219" spans="1:34" x14ac:dyDescent="0.3">
      <c r="A219" s="2" t="s">
        <v>13</v>
      </c>
      <c r="K219">
        <v>200</v>
      </c>
      <c r="AH219">
        <f t="shared" si="11"/>
        <v>200</v>
      </c>
    </row>
    <row r="220" spans="1:34" x14ac:dyDescent="0.3">
      <c r="A220" s="2" t="s">
        <v>9</v>
      </c>
      <c r="G220">
        <v>320</v>
      </c>
      <c r="AH220">
        <f t="shared" si="11"/>
        <v>320</v>
      </c>
    </row>
    <row r="221" spans="1:34" x14ac:dyDescent="0.3">
      <c r="A221" s="2" t="s">
        <v>17</v>
      </c>
      <c r="C221">
        <v>471</v>
      </c>
      <c r="AH221">
        <f t="shared" si="11"/>
        <v>471</v>
      </c>
    </row>
    <row r="222" spans="1:34" x14ac:dyDescent="0.3">
      <c r="A222" s="2" t="s">
        <v>22</v>
      </c>
      <c r="M222">
        <v>800</v>
      </c>
      <c r="S222">
        <v>190</v>
      </c>
      <c r="AH222">
        <f>SUM(B222:AF222)</f>
        <v>990</v>
      </c>
    </row>
    <row r="223" spans="1:34" x14ac:dyDescent="0.3">
      <c r="A223" s="2" t="s">
        <v>10</v>
      </c>
      <c r="I223">
        <v>200</v>
      </c>
      <c r="AH223">
        <f t="shared" si="11"/>
        <v>200</v>
      </c>
    </row>
    <row r="224" spans="1:34" x14ac:dyDescent="0.3">
      <c r="A224" s="2" t="s">
        <v>24</v>
      </c>
      <c r="X224">
        <v>1500</v>
      </c>
      <c r="AH224">
        <f>SUM(B224:AF224)</f>
        <v>1500</v>
      </c>
    </row>
    <row r="225" spans="1:34" x14ac:dyDescent="0.3">
      <c r="A225" s="2" t="s">
        <v>11</v>
      </c>
      <c r="K225">
        <v>910</v>
      </c>
      <c r="AH225">
        <f t="shared" si="11"/>
        <v>910</v>
      </c>
    </row>
    <row r="226" spans="1:34" x14ac:dyDescent="0.3">
      <c r="A226" s="2" t="s">
        <v>8</v>
      </c>
      <c r="C226">
        <v>35</v>
      </c>
      <c r="AH226">
        <f t="shared" si="11"/>
        <v>35</v>
      </c>
    </row>
    <row r="227" spans="1:34" x14ac:dyDescent="0.3">
      <c r="A227" s="2" t="s">
        <v>20</v>
      </c>
      <c r="Y227">
        <v>150</v>
      </c>
      <c r="AA227">
        <v>149</v>
      </c>
      <c r="AH227">
        <f t="shared" si="11"/>
        <v>299</v>
      </c>
    </row>
    <row r="228" spans="1:34" x14ac:dyDescent="0.3">
      <c r="A228" s="2" t="s">
        <v>12</v>
      </c>
      <c r="B228">
        <v>90</v>
      </c>
      <c r="K228">
        <v>600</v>
      </c>
      <c r="O228">
        <v>25</v>
      </c>
      <c r="AH228">
        <f t="shared" si="11"/>
        <v>715</v>
      </c>
    </row>
    <row r="229" spans="1:34" x14ac:dyDescent="0.3">
      <c r="A229" s="2" t="s">
        <v>6</v>
      </c>
      <c r="E229" s="4">
        <v>65</v>
      </c>
      <c r="F229">
        <v>1750</v>
      </c>
      <c r="K229" s="3"/>
      <c r="AH229">
        <f t="shared" si="11"/>
        <v>1815</v>
      </c>
    </row>
    <row r="230" spans="1:34" x14ac:dyDescent="0.3">
      <c r="A230" s="2" t="s">
        <v>4</v>
      </c>
      <c r="O230">
        <v>100</v>
      </c>
      <c r="AH230">
        <f t="shared" si="11"/>
        <v>100</v>
      </c>
    </row>
    <row r="231" spans="1:34" x14ac:dyDescent="0.3">
      <c r="Q231" s="6">
        <f>SUM(B210:AF230)</f>
        <v>18788</v>
      </c>
    </row>
    <row r="237" spans="1:34" x14ac:dyDescent="0.3">
      <c r="A237" s="20" t="s">
        <v>25</v>
      </c>
      <c r="B237" s="20"/>
    </row>
    <row r="238" spans="1:34" x14ac:dyDescent="0.3">
      <c r="A238" t="s">
        <v>26</v>
      </c>
      <c r="B238">
        <v>500</v>
      </c>
      <c r="Q238" s="6">
        <f>SUM(Q92,Q73,Q54,Q36,Q18,Q111,Q128,Q148,Q168,Q190,Q208,Q231)</f>
        <v>303019</v>
      </c>
      <c r="R238">
        <f>Q238/12</f>
        <v>25251.583333333332</v>
      </c>
    </row>
    <row r="239" spans="1:34" x14ac:dyDescent="0.3">
      <c r="A239" t="s">
        <v>27</v>
      </c>
      <c r="B239">
        <v>18443</v>
      </c>
      <c r="Q239">
        <v>24000</v>
      </c>
    </row>
    <row r="240" spans="1:34" x14ac:dyDescent="0.3">
      <c r="A240" t="s">
        <v>28</v>
      </c>
      <c r="B240">
        <v>2350</v>
      </c>
      <c r="Q240">
        <f>SUM(Q238:Q239)</f>
        <v>327019</v>
      </c>
      <c r="R240">
        <f>Q240/12</f>
        <v>27251.583333333332</v>
      </c>
    </row>
    <row r="241" spans="1:9" x14ac:dyDescent="0.3">
      <c r="A241" t="s">
        <v>29</v>
      </c>
      <c r="B241">
        <v>10000</v>
      </c>
    </row>
    <row r="246" spans="1:9" x14ac:dyDescent="0.3">
      <c r="I246" s="1"/>
    </row>
    <row r="248" spans="1:9" x14ac:dyDescent="0.3">
      <c r="I248" s="1"/>
    </row>
  </sheetData>
  <autoFilter ref="A1:AF231" xr:uid="{00000000-0001-0000-0A00-000000000000}"/>
  <mergeCells count="1">
    <mergeCell ref="A237:B237"/>
  </mergeCells>
  <phoneticPr fontId="7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293D-6887-43D3-A434-86010EAD40AD}">
  <dimension ref="A1:AL252"/>
  <sheetViews>
    <sheetView topLeftCell="O229" zoomScale="80" zoomScaleNormal="80" workbookViewId="0">
      <selection activeCell="AK242" sqref="AK242"/>
    </sheetView>
  </sheetViews>
  <sheetFormatPr defaultRowHeight="14.4" x14ac:dyDescent="0.3"/>
  <cols>
    <col min="1" max="1" width="9.21875" customWidth="1"/>
    <col min="2" max="2" width="9.33203125" customWidth="1"/>
    <col min="3" max="10" width="9.33203125" bestFit="1" customWidth="1"/>
    <col min="11" max="32" width="10.44140625" bestFit="1" customWidth="1"/>
    <col min="37" max="37" width="28.44140625" customWidth="1"/>
  </cols>
  <sheetData>
    <row r="1" spans="1:38" x14ac:dyDescent="0.3">
      <c r="B1" s="1">
        <v>44562</v>
      </c>
      <c r="C1" s="1">
        <v>44563</v>
      </c>
      <c r="D1" s="1">
        <v>44564</v>
      </c>
      <c r="E1" s="1">
        <v>44565</v>
      </c>
      <c r="F1" s="1">
        <v>44566</v>
      </c>
      <c r="G1" s="1">
        <v>44567</v>
      </c>
      <c r="H1" s="1">
        <v>44568</v>
      </c>
      <c r="I1" s="1">
        <v>44569</v>
      </c>
      <c r="J1" s="1">
        <v>44570</v>
      </c>
      <c r="K1" s="1">
        <v>44571</v>
      </c>
      <c r="L1" s="1">
        <v>44572</v>
      </c>
      <c r="M1" s="1">
        <v>44573</v>
      </c>
      <c r="N1" s="1">
        <v>44574</v>
      </c>
      <c r="O1" s="1">
        <v>44575</v>
      </c>
      <c r="P1" s="1">
        <v>44576</v>
      </c>
      <c r="Q1" s="1">
        <v>44577</v>
      </c>
      <c r="R1" s="1">
        <v>44578</v>
      </c>
      <c r="S1" s="1">
        <v>44579</v>
      </c>
      <c r="T1" s="1">
        <v>44580</v>
      </c>
      <c r="U1" s="1">
        <v>44581</v>
      </c>
      <c r="V1" s="1">
        <v>44582</v>
      </c>
      <c r="W1" s="1">
        <v>44583</v>
      </c>
      <c r="X1" s="1">
        <v>44584</v>
      </c>
      <c r="Y1" s="1">
        <v>44585</v>
      </c>
      <c r="Z1" s="1">
        <v>44586</v>
      </c>
      <c r="AA1" s="1">
        <v>44587</v>
      </c>
      <c r="AB1" s="1">
        <v>44588</v>
      </c>
      <c r="AC1" s="1">
        <v>44589</v>
      </c>
      <c r="AD1" s="1">
        <v>44590</v>
      </c>
      <c r="AE1" s="1">
        <v>44591</v>
      </c>
      <c r="AF1" s="1">
        <v>44592</v>
      </c>
    </row>
    <row r="2" spans="1:38" x14ac:dyDescent="0.3">
      <c r="A2" s="2" t="s">
        <v>5</v>
      </c>
      <c r="B2" s="4">
        <v>32</v>
      </c>
      <c r="C2">
        <v>0</v>
      </c>
      <c r="D2">
        <v>22</v>
      </c>
      <c r="E2" s="4">
        <v>22</v>
      </c>
      <c r="F2">
        <v>22</v>
      </c>
      <c r="G2">
        <v>10</v>
      </c>
      <c r="H2" s="4">
        <v>22</v>
      </c>
      <c r="I2" s="4">
        <v>22</v>
      </c>
      <c r="J2" s="4">
        <v>32</v>
      </c>
      <c r="K2" s="4">
        <v>22</v>
      </c>
      <c r="L2">
        <v>22</v>
      </c>
      <c r="M2" s="4">
        <v>22</v>
      </c>
      <c r="N2" s="4">
        <v>22</v>
      </c>
      <c r="O2" s="4">
        <v>32</v>
      </c>
      <c r="P2" s="4">
        <v>32</v>
      </c>
      <c r="Q2" s="4">
        <v>0</v>
      </c>
      <c r="R2" s="4">
        <v>22</v>
      </c>
      <c r="S2" s="4">
        <v>22</v>
      </c>
      <c r="T2" s="4">
        <v>32</v>
      </c>
      <c r="U2" s="4">
        <v>37</v>
      </c>
      <c r="V2" s="4">
        <v>37</v>
      </c>
      <c r="W2" s="4">
        <v>22</v>
      </c>
      <c r="X2" s="4">
        <v>22</v>
      </c>
      <c r="Y2" s="4">
        <v>22</v>
      </c>
      <c r="Z2" s="4">
        <v>22</v>
      </c>
      <c r="AA2">
        <v>10</v>
      </c>
      <c r="AB2" s="4">
        <v>22</v>
      </c>
      <c r="AC2" s="4">
        <v>22</v>
      </c>
      <c r="AD2" s="4">
        <v>22</v>
      </c>
      <c r="AE2" s="4">
        <v>22</v>
      </c>
      <c r="AF2" s="4">
        <v>22</v>
      </c>
      <c r="AH2">
        <f>SUM(B2:AF2)</f>
        <v>694</v>
      </c>
      <c r="AL2">
        <v>15300</v>
      </c>
    </row>
    <row r="3" spans="1:38" x14ac:dyDescent="0.3">
      <c r="A3" t="s">
        <v>14</v>
      </c>
      <c r="B3">
        <v>0</v>
      </c>
      <c r="C3">
        <v>0</v>
      </c>
      <c r="D3">
        <v>45</v>
      </c>
      <c r="E3">
        <v>0</v>
      </c>
      <c r="F3">
        <v>0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5</v>
      </c>
      <c r="X3">
        <v>5</v>
      </c>
      <c r="Y3">
        <v>0</v>
      </c>
      <c r="Z3">
        <v>0</v>
      </c>
      <c r="AA3">
        <v>0</v>
      </c>
      <c r="AB3">
        <v>0</v>
      </c>
      <c r="AC3">
        <v>0</v>
      </c>
      <c r="AD3">
        <v>5</v>
      </c>
      <c r="AE3">
        <v>5</v>
      </c>
      <c r="AF3">
        <v>0</v>
      </c>
      <c r="AH3">
        <f>SUM(B3:AF3)</f>
        <v>75</v>
      </c>
      <c r="AL3">
        <v>15200</v>
      </c>
    </row>
    <row r="4" spans="1:38" x14ac:dyDescent="0.3">
      <c r="A4" s="2" t="s">
        <v>0</v>
      </c>
      <c r="B4" s="10">
        <v>100</v>
      </c>
      <c r="K4" s="10">
        <v>200</v>
      </c>
      <c r="O4">
        <v>200</v>
      </c>
      <c r="AA4">
        <v>1010</v>
      </c>
      <c r="AC4">
        <v>150</v>
      </c>
      <c r="AE4">
        <v>500</v>
      </c>
      <c r="AH4">
        <f t="shared" ref="AH4:AH19" si="0">SUM(B4:AF4)</f>
        <v>2160</v>
      </c>
      <c r="AL4">
        <v>15000</v>
      </c>
    </row>
    <row r="5" spans="1:38" x14ac:dyDescent="0.3">
      <c r="A5" s="2" t="s">
        <v>16</v>
      </c>
      <c r="C5">
        <v>405</v>
      </c>
      <c r="J5">
        <v>60</v>
      </c>
      <c r="N5" s="4">
        <v>4</v>
      </c>
      <c r="O5">
        <v>187</v>
      </c>
      <c r="R5" s="4">
        <v>23</v>
      </c>
      <c r="W5">
        <v>20</v>
      </c>
      <c r="X5">
        <v>70</v>
      </c>
      <c r="Y5">
        <v>20</v>
      </c>
      <c r="Z5">
        <v>44</v>
      </c>
      <c r="AA5">
        <v>55</v>
      </c>
      <c r="AC5">
        <v>30</v>
      </c>
      <c r="AE5">
        <v>360</v>
      </c>
      <c r="AF5">
        <v>20</v>
      </c>
      <c r="AH5">
        <f t="shared" si="0"/>
        <v>1298</v>
      </c>
      <c r="AL5">
        <v>15200</v>
      </c>
    </row>
    <row r="6" spans="1:38" x14ac:dyDescent="0.3">
      <c r="A6" s="2" t="s">
        <v>18</v>
      </c>
      <c r="D6">
        <v>3108</v>
      </c>
      <c r="E6">
        <v>1409</v>
      </c>
      <c r="F6">
        <v>390</v>
      </c>
      <c r="G6">
        <v>50</v>
      </c>
      <c r="H6" s="4">
        <v>229</v>
      </c>
      <c r="I6" s="4">
        <v>120</v>
      </c>
      <c r="K6" s="4">
        <v>62</v>
      </c>
      <c r="O6">
        <v>370</v>
      </c>
      <c r="P6">
        <v>20</v>
      </c>
      <c r="U6">
        <v>85</v>
      </c>
      <c r="W6" s="4">
        <v>18</v>
      </c>
      <c r="AD6" s="4">
        <v>131</v>
      </c>
      <c r="AF6">
        <v>30</v>
      </c>
      <c r="AH6">
        <f t="shared" si="0"/>
        <v>6022</v>
      </c>
      <c r="AL6">
        <v>15000</v>
      </c>
    </row>
    <row r="7" spans="1:38" x14ac:dyDescent="0.3">
      <c r="A7" s="2" t="s">
        <v>2</v>
      </c>
      <c r="B7">
        <v>15</v>
      </c>
      <c r="C7">
        <v>70</v>
      </c>
      <c r="I7">
        <v>12</v>
      </c>
      <c r="L7">
        <v>20</v>
      </c>
      <c r="R7">
        <v>20</v>
      </c>
      <c r="U7">
        <v>25</v>
      </c>
      <c r="X7">
        <v>100</v>
      </c>
      <c r="AA7">
        <v>70</v>
      </c>
      <c r="AD7">
        <v>15</v>
      </c>
      <c r="AE7">
        <v>160</v>
      </c>
      <c r="AH7">
        <f t="shared" si="0"/>
        <v>507</v>
      </c>
      <c r="AL7">
        <v>16500</v>
      </c>
    </row>
    <row r="8" spans="1:38" x14ac:dyDescent="0.3">
      <c r="A8" s="2" t="s">
        <v>19</v>
      </c>
      <c r="B8">
        <v>20</v>
      </c>
      <c r="C8" s="5"/>
      <c r="E8" s="4">
        <v>62</v>
      </c>
      <c r="F8">
        <v>128</v>
      </c>
      <c r="G8">
        <v>20</v>
      </c>
      <c r="H8" s="4">
        <v>367</v>
      </c>
      <c r="I8" s="4">
        <v>50</v>
      </c>
      <c r="N8">
        <v>50</v>
      </c>
      <c r="X8">
        <v>50</v>
      </c>
      <c r="Z8">
        <v>20</v>
      </c>
      <c r="AA8" s="4">
        <v>150</v>
      </c>
      <c r="AC8">
        <v>20</v>
      </c>
      <c r="AD8">
        <v>10</v>
      </c>
      <c r="AE8">
        <v>40</v>
      </c>
      <c r="AH8">
        <f t="shared" si="0"/>
        <v>987</v>
      </c>
      <c r="AL8">
        <v>16400</v>
      </c>
    </row>
    <row r="9" spans="1:38" x14ac:dyDescent="0.3">
      <c r="A9" s="2" t="s">
        <v>7</v>
      </c>
      <c r="D9">
        <v>30</v>
      </c>
      <c r="N9">
        <v>40</v>
      </c>
      <c r="S9">
        <v>60</v>
      </c>
      <c r="AH9">
        <f t="shared" si="0"/>
        <v>130</v>
      </c>
      <c r="AL9">
        <v>16400</v>
      </c>
    </row>
    <row r="10" spans="1:38" x14ac:dyDescent="0.3">
      <c r="A10" s="2" t="s">
        <v>15</v>
      </c>
      <c r="J10">
        <v>219</v>
      </c>
      <c r="K10">
        <v>160</v>
      </c>
      <c r="L10">
        <v>300</v>
      </c>
      <c r="M10">
        <v>245</v>
      </c>
      <c r="N10">
        <v>363</v>
      </c>
      <c r="AH10">
        <f t="shared" si="0"/>
        <v>1287</v>
      </c>
      <c r="AL10">
        <v>15800</v>
      </c>
    </row>
    <row r="11" spans="1:38" x14ac:dyDescent="0.3">
      <c r="A11" s="2" t="s">
        <v>13</v>
      </c>
      <c r="K11">
        <v>200</v>
      </c>
      <c r="AH11">
        <f t="shared" si="0"/>
        <v>200</v>
      </c>
      <c r="AL11">
        <v>16300</v>
      </c>
    </row>
    <row r="12" spans="1:38" x14ac:dyDescent="0.3">
      <c r="A12" s="2" t="s">
        <v>9</v>
      </c>
      <c r="E12">
        <v>320</v>
      </c>
      <c r="AH12">
        <f t="shared" si="0"/>
        <v>320</v>
      </c>
      <c r="AL12">
        <v>16000</v>
      </c>
    </row>
    <row r="13" spans="1:38" x14ac:dyDescent="0.3">
      <c r="A13" s="2" t="s">
        <v>23</v>
      </c>
      <c r="AA13">
        <v>290</v>
      </c>
      <c r="AH13">
        <f>SUM(B13:AF13)</f>
        <v>290</v>
      </c>
      <c r="AL13">
        <v>16400</v>
      </c>
    </row>
    <row r="14" spans="1:38" x14ac:dyDescent="0.3">
      <c r="A14" s="2" t="s">
        <v>17</v>
      </c>
      <c r="B14">
        <v>471</v>
      </c>
      <c r="J14">
        <v>106</v>
      </c>
      <c r="AF14">
        <v>471</v>
      </c>
      <c r="AH14">
        <f t="shared" si="0"/>
        <v>1048</v>
      </c>
      <c r="AL14">
        <f>SUM(AL2:AL13)</f>
        <v>189500</v>
      </c>
    </row>
    <row r="15" spans="1:38" x14ac:dyDescent="0.3">
      <c r="A15" s="2" t="s">
        <v>21</v>
      </c>
      <c r="O15" s="4">
        <v>65</v>
      </c>
      <c r="P15">
        <v>310</v>
      </c>
      <c r="AH15">
        <f t="shared" si="0"/>
        <v>375</v>
      </c>
    </row>
    <row r="16" spans="1:38" x14ac:dyDescent="0.3">
      <c r="A16" s="2" t="s">
        <v>20</v>
      </c>
      <c r="P16" s="4">
        <v>110</v>
      </c>
      <c r="R16">
        <v>20</v>
      </c>
      <c r="X16">
        <v>2545</v>
      </c>
      <c r="AH16">
        <f t="shared" si="0"/>
        <v>2675</v>
      </c>
    </row>
    <row r="17" spans="1:37" x14ac:dyDescent="0.3">
      <c r="A17" s="2" t="s">
        <v>3</v>
      </c>
      <c r="B17">
        <v>640</v>
      </c>
      <c r="O17">
        <v>20</v>
      </c>
      <c r="X17">
        <v>150</v>
      </c>
      <c r="AA17">
        <v>10</v>
      </c>
      <c r="AH17">
        <f t="shared" si="0"/>
        <v>820</v>
      </c>
    </row>
    <row r="18" spans="1:37" x14ac:dyDescent="0.3">
      <c r="A18" s="2" t="s">
        <v>12</v>
      </c>
      <c r="K18">
        <v>750</v>
      </c>
      <c r="N18">
        <v>600</v>
      </c>
      <c r="T18">
        <v>20</v>
      </c>
      <c r="X18">
        <v>310</v>
      </c>
      <c r="AD18">
        <v>25</v>
      </c>
      <c r="AH18">
        <f t="shared" si="0"/>
        <v>1705</v>
      </c>
      <c r="AI18" t="s">
        <v>12</v>
      </c>
    </row>
    <row r="19" spans="1:37" x14ac:dyDescent="0.3">
      <c r="A19" s="2" t="s">
        <v>4</v>
      </c>
      <c r="H19">
        <v>10</v>
      </c>
      <c r="N19">
        <v>17</v>
      </c>
      <c r="O19">
        <v>20</v>
      </c>
      <c r="U19">
        <v>310</v>
      </c>
      <c r="V19">
        <v>10</v>
      </c>
      <c r="AH19">
        <f t="shared" si="0"/>
        <v>367</v>
      </c>
    </row>
    <row r="20" spans="1:37" x14ac:dyDescent="0.3">
      <c r="Q20" s="6">
        <f>SUM(B2:AF19)</f>
        <v>20960</v>
      </c>
    </row>
    <row r="21" spans="1:37" x14ac:dyDescent="0.3">
      <c r="B21" s="1">
        <v>44593</v>
      </c>
      <c r="C21" s="1">
        <v>44594</v>
      </c>
      <c r="D21" s="1">
        <v>44595</v>
      </c>
      <c r="E21" s="1">
        <v>44596</v>
      </c>
      <c r="F21" s="1">
        <v>44597</v>
      </c>
      <c r="G21" s="1">
        <v>44598</v>
      </c>
      <c r="H21" s="1">
        <v>44599</v>
      </c>
      <c r="I21" s="1">
        <v>44600</v>
      </c>
      <c r="J21" s="1">
        <v>44601</v>
      </c>
      <c r="K21" s="1">
        <v>44602</v>
      </c>
      <c r="L21" s="1">
        <v>44603</v>
      </c>
      <c r="M21" s="1">
        <v>44604</v>
      </c>
      <c r="N21" s="1">
        <v>44605</v>
      </c>
      <c r="O21" s="1">
        <v>44606</v>
      </c>
      <c r="P21" s="1">
        <v>44607</v>
      </c>
      <c r="Q21" s="1">
        <v>44608</v>
      </c>
      <c r="R21" s="1">
        <v>44609</v>
      </c>
      <c r="S21" s="1">
        <v>44610</v>
      </c>
      <c r="T21" s="1">
        <v>44611</v>
      </c>
      <c r="U21" s="1">
        <v>44612</v>
      </c>
      <c r="V21" s="1">
        <v>44613</v>
      </c>
      <c r="W21" s="1">
        <v>44614</v>
      </c>
      <c r="X21" s="1">
        <v>44615</v>
      </c>
      <c r="Y21" s="1">
        <v>44616</v>
      </c>
      <c r="Z21" s="1">
        <v>44617</v>
      </c>
      <c r="AA21" s="1">
        <v>44618</v>
      </c>
      <c r="AB21" s="1">
        <v>44619</v>
      </c>
      <c r="AC21" s="1">
        <v>44620</v>
      </c>
      <c r="AK21">
        <f>Q20</f>
        <v>20960</v>
      </c>
    </row>
    <row r="22" spans="1:37" x14ac:dyDescent="0.3">
      <c r="A22" s="2" t="s">
        <v>5</v>
      </c>
      <c r="B22" s="4">
        <v>22</v>
      </c>
      <c r="C22" s="4">
        <v>22</v>
      </c>
      <c r="D22" s="4">
        <v>22</v>
      </c>
      <c r="E22" s="4">
        <v>22</v>
      </c>
      <c r="F22">
        <v>22</v>
      </c>
      <c r="G22" s="4">
        <v>22</v>
      </c>
      <c r="H22" s="4">
        <v>22</v>
      </c>
      <c r="I22">
        <v>22</v>
      </c>
      <c r="J22" s="4">
        <v>22</v>
      </c>
      <c r="K22" s="4">
        <v>22</v>
      </c>
      <c r="L22" s="4">
        <v>0</v>
      </c>
      <c r="M22">
        <v>22</v>
      </c>
      <c r="N22">
        <v>32</v>
      </c>
      <c r="O22">
        <v>22</v>
      </c>
      <c r="P22">
        <v>10</v>
      </c>
      <c r="Q22">
        <v>22</v>
      </c>
      <c r="R22">
        <v>22</v>
      </c>
      <c r="S22">
        <v>22</v>
      </c>
      <c r="T22">
        <v>0</v>
      </c>
      <c r="U22">
        <v>22</v>
      </c>
      <c r="V22">
        <v>22</v>
      </c>
      <c r="W22">
        <v>22</v>
      </c>
      <c r="X22">
        <v>22</v>
      </c>
      <c r="Y22">
        <v>22</v>
      </c>
      <c r="Z22" s="4">
        <v>22</v>
      </c>
      <c r="AA22">
        <v>22</v>
      </c>
      <c r="AB22" s="4">
        <v>22</v>
      </c>
      <c r="AC22">
        <v>22</v>
      </c>
      <c r="AH22">
        <f>SUM(B22:AC22)</f>
        <v>570</v>
      </c>
    </row>
    <row r="23" spans="1:37" x14ac:dyDescent="0.3">
      <c r="A23" t="s">
        <v>14</v>
      </c>
      <c r="B23">
        <v>0</v>
      </c>
      <c r="C23">
        <v>0</v>
      </c>
      <c r="D23">
        <v>0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L23">
        <v>0</v>
      </c>
      <c r="M23">
        <v>5</v>
      </c>
      <c r="N23">
        <v>5</v>
      </c>
      <c r="O23">
        <v>0</v>
      </c>
      <c r="P23">
        <v>0</v>
      </c>
      <c r="Q23">
        <v>0</v>
      </c>
      <c r="R23">
        <v>0</v>
      </c>
      <c r="S23">
        <v>0</v>
      </c>
      <c r="T23">
        <v>5</v>
      </c>
      <c r="U23">
        <v>0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H23">
        <f t="shared" ref="AH23:AH38" si="1">SUM(B23:AC23)</f>
        <v>20</v>
      </c>
    </row>
    <row r="24" spans="1:37" x14ac:dyDescent="0.3">
      <c r="A24" s="2" t="s">
        <v>0</v>
      </c>
      <c r="F24">
        <v>200</v>
      </c>
      <c r="M24">
        <v>500</v>
      </c>
      <c r="S24">
        <v>700</v>
      </c>
      <c r="T24">
        <v>150</v>
      </c>
      <c r="Z24">
        <v>200</v>
      </c>
      <c r="AH24">
        <f t="shared" si="1"/>
        <v>1750</v>
      </c>
    </row>
    <row r="25" spans="1:37" x14ac:dyDescent="0.3">
      <c r="A25" s="2" t="s">
        <v>16</v>
      </c>
      <c r="C25" s="4">
        <v>20</v>
      </c>
      <c r="G25" s="4">
        <v>2</v>
      </c>
      <c r="H25">
        <v>42</v>
      </c>
      <c r="J25">
        <v>10</v>
      </c>
      <c r="K25" s="4">
        <v>2</v>
      </c>
      <c r="N25">
        <v>393</v>
      </c>
      <c r="P25">
        <v>45</v>
      </c>
      <c r="Q25">
        <v>8</v>
      </c>
      <c r="S25">
        <v>120</v>
      </c>
      <c r="U25">
        <v>78</v>
      </c>
      <c r="X25">
        <v>10</v>
      </c>
      <c r="Z25">
        <v>20</v>
      </c>
      <c r="AA25">
        <v>55</v>
      </c>
      <c r="AB25">
        <v>280</v>
      </c>
      <c r="AH25">
        <f t="shared" si="1"/>
        <v>1085</v>
      </c>
    </row>
    <row r="26" spans="1:37" x14ac:dyDescent="0.3">
      <c r="A26" s="2" t="s">
        <v>18</v>
      </c>
      <c r="E26" s="4">
        <v>604</v>
      </c>
      <c r="J26" s="4">
        <v>395</v>
      </c>
      <c r="M26" s="4">
        <v>799</v>
      </c>
      <c r="P26">
        <v>22</v>
      </c>
      <c r="T26">
        <v>632</v>
      </c>
      <c r="U26">
        <v>20</v>
      </c>
      <c r="Y26">
        <v>65</v>
      </c>
      <c r="Z26" s="4">
        <v>105</v>
      </c>
      <c r="AA26">
        <v>1915</v>
      </c>
      <c r="AB26" s="4">
        <v>19</v>
      </c>
      <c r="AH26">
        <f t="shared" si="1"/>
        <v>4576</v>
      </c>
    </row>
    <row r="27" spans="1:37" x14ac:dyDescent="0.3">
      <c r="A27" s="2" t="s">
        <v>2</v>
      </c>
      <c r="C27">
        <v>20</v>
      </c>
      <c r="G27">
        <v>40</v>
      </c>
      <c r="H27">
        <v>10</v>
      </c>
      <c r="K27">
        <v>20</v>
      </c>
      <c r="N27">
        <v>148</v>
      </c>
      <c r="Q27">
        <v>22</v>
      </c>
      <c r="S27">
        <v>60</v>
      </c>
      <c r="U27">
        <v>97</v>
      </c>
      <c r="V27">
        <v>20</v>
      </c>
      <c r="Z27">
        <v>46</v>
      </c>
      <c r="AB27">
        <v>210</v>
      </c>
      <c r="AH27">
        <f t="shared" si="1"/>
        <v>693</v>
      </c>
    </row>
    <row r="28" spans="1:37" x14ac:dyDescent="0.3">
      <c r="A28" s="2" t="s">
        <v>19</v>
      </c>
      <c r="E28" s="4">
        <v>135</v>
      </c>
      <c r="M28" s="4">
        <v>126</v>
      </c>
      <c r="N28">
        <v>110</v>
      </c>
      <c r="U28">
        <v>100</v>
      </c>
      <c r="W28">
        <v>20</v>
      </c>
      <c r="X28">
        <v>60</v>
      </c>
      <c r="Y28">
        <v>10</v>
      </c>
      <c r="Z28">
        <v>10</v>
      </c>
      <c r="AA28">
        <v>85</v>
      </c>
      <c r="AC28">
        <v>12</v>
      </c>
      <c r="AH28">
        <f t="shared" si="1"/>
        <v>668</v>
      </c>
    </row>
    <row r="29" spans="1:37" x14ac:dyDescent="0.3">
      <c r="A29" s="2" t="s">
        <v>7</v>
      </c>
      <c r="C29">
        <v>20</v>
      </c>
      <c r="E29">
        <v>30</v>
      </c>
      <c r="I29">
        <v>30</v>
      </c>
      <c r="M29">
        <v>30</v>
      </c>
      <c r="N29">
        <v>60</v>
      </c>
      <c r="AB29">
        <v>40</v>
      </c>
      <c r="AC29">
        <v>10</v>
      </c>
      <c r="AH29">
        <f t="shared" si="1"/>
        <v>220</v>
      </c>
    </row>
    <row r="30" spans="1:37" x14ac:dyDescent="0.3">
      <c r="A30" s="2" t="s">
        <v>15</v>
      </c>
      <c r="K30">
        <v>210</v>
      </c>
      <c r="L30">
        <v>327</v>
      </c>
      <c r="M30">
        <v>151</v>
      </c>
      <c r="N30">
        <v>259</v>
      </c>
      <c r="O30">
        <v>245</v>
      </c>
      <c r="AH30">
        <f t="shared" si="1"/>
        <v>1192</v>
      </c>
    </row>
    <row r="31" spans="1:37" x14ac:dyDescent="0.3">
      <c r="A31" s="2" t="s">
        <v>13</v>
      </c>
      <c r="K31">
        <v>200</v>
      </c>
      <c r="L31" s="3"/>
      <c r="M31" s="3"/>
      <c r="N31" s="3"/>
      <c r="O31" s="3"/>
      <c r="AH31">
        <f t="shared" si="1"/>
        <v>200</v>
      </c>
    </row>
    <row r="32" spans="1:37" x14ac:dyDescent="0.3">
      <c r="A32" s="2" t="s">
        <v>11</v>
      </c>
      <c r="H32">
        <v>910</v>
      </c>
      <c r="AH32">
        <f>SUM(B32:AC32)</f>
        <v>910</v>
      </c>
    </row>
    <row r="33" spans="1:37" x14ac:dyDescent="0.3">
      <c r="A33" s="2" t="s">
        <v>9</v>
      </c>
      <c r="H33">
        <v>320</v>
      </c>
      <c r="AH33">
        <f t="shared" si="1"/>
        <v>320</v>
      </c>
    </row>
    <row r="34" spans="1:37" x14ac:dyDescent="0.3">
      <c r="A34" s="2" t="s">
        <v>20</v>
      </c>
      <c r="U34">
        <v>120</v>
      </c>
      <c r="V34">
        <v>10</v>
      </c>
      <c r="AH34">
        <f t="shared" si="1"/>
        <v>130</v>
      </c>
    </row>
    <row r="35" spans="1:37" x14ac:dyDescent="0.3">
      <c r="A35" s="2" t="s">
        <v>3</v>
      </c>
      <c r="B35">
        <v>640</v>
      </c>
      <c r="P35" s="4">
        <v>120</v>
      </c>
      <c r="Q35">
        <v>305</v>
      </c>
      <c r="U35">
        <v>120</v>
      </c>
      <c r="AH35">
        <f>SUM(B35:AC35)</f>
        <v>1185</v>
      </c>
    </row>
    <row r="36" spans="1:37" x14ac:dyDescent="0.3">
      <c r="A36" s="2" t="s">
        <v>12</v>
      </c>
      <c r="G36">
        <v>750</v>
      </c>
      <c r="Q36">
        <v>600</v>
      </c>
      <c r="U36">
        <v>200</v>
      </c>
      <c r="AC36">
        <v>44</v>
      </c>
      <c r="AH36">
        <f t="shared" si="1"/>
        <v>1594</v>
      </c>
      <c r="AI36" t="s">
        <v>12</v>
      </c>
    </row>
    <row r="37" spans="1:37" x14ac:dyDescent="0.3">
      <c r="A37" s="2" t="s">
        <v>23</v>
      </c>
      <c r="S37">
        <v>300</v>
      </c>
      <c r="AH37">
        <f t="shared" si="1"/>
        <v>300</v>
      </c>
    </row>
    <row r="38" spans="1:37" x14ac:dyDescent="0.3">
      <c r="A38" s="2" t="s">
        <v>4</v>
      </c>
      <c r="C38">
        <v>10</v>
      </c>
      <c r="F38">
        <v>355</v>
      </c>
      <c r="I38">
        <v>15</v>
      </c>
      <c r="O38">
        <v>30</v>
      </c>
      <c r="U38">
        <v>50</v>
      </c>
      <c r="Y38">
        <v>18</v>
      </c>
      <c r="AH38">
        <f t="shared" si="1"/>
        <v>478</v>
      </c>
    </row>
    <row r="39" spans="1:37" x14ac:dyDescent="0.3">
      <c r="Q39" s="6">
        <f>SUM(B22:AC38)</f>
        <v>15891</v>
      </c>
      <c r="AK39">
        <f>SUM(Q20,Q39)</f>
        <v>36851</v>
      </c>
    </row>
    <row r="40" spans="1:37" x14ac:dyDescent="0.3">
      <c r="B40" s="1">
        <v>44621</v>
      </c>
      <c r="C40" s="1">
        <v>44622</v>
      </c>
      <c r="D40" s="1">
        <v>44623</v>
      </c>
      <c r="E40" s="1">
        <v>44624</v>
      </c>
      <c r="F40" s="1">
        <v>44625</v>
      </c>
      <c r="G40" s="1">
        <v>44626</v>
      </c>
      <c r="H40" s="1">
        <v>44627</v>
      </c>
      <c r="I40" s="1">
        <v>44628</v>
      </c>
      <c r="J40" s="1">
        <v>44629</v>
      </c>
      <c r="K40" s="1">
        <v>44630</v>
      </c>
      <c r="L40" s="1">
        <v>44631</v>
      </c>
      <c r="M40" s="1">
        <v>44632</v>
      </c>
      <c r="N40" s="1">
        <v>44633</v>
      </c>
      <c r="O40" s="1">
        <v>44634</v>
      </c>
      <c r="P40" s="1">
        <v>44635</v>
      </c>
      <c r="Q40" s="1">
        <v>44636</v>
      </c>
      <c r="R40" s="1">
        <v>44637</v>
      </c>
      <c r="S40" s="1">
        <v>44638</v>
      </c>
      <c r="T40" s="1">
        <v>44639</v>
      </c>
      <c r="U40" s="1">
        <v>44640</v>
      </c>
      <c r="V40" s="1">
        <v>44641</v>
      </c>
      <c r="W40" s="1">
        <v>44642</v>
      </c>
      <c r="X40" s="1">
        <v>44643</v>
      </c>
      <c r="Y40" s="1">
        <v>44644</v>
      </c>
      <c r="Z40" s="1">
        <v>44645</v>
      </c>
      <c r="AA40" s="1">
        <v>44646</v>
      </c>
      <c r="AB40" s="1">
        <v>44647</v>
      </c>
      <c r="AC40" s="1">
        <v>44648</v>
      </c>
      <c r="AD40" s="1">
        <v>44649</v>
      </c>
      <c r="AE40" s="1">
        <v>44650</v>
      </c>
      <c r="AF40" s="1">
        <v>44651</v>
      </c>
    </row>
    <row r="41" spans="1:37" x14ac:dyDescent="0.3">
      <c r="A41" s="2" t="s">
        <v>5</v>
      </c>
      <c r="B41" s="4">
        <v>22</v>
      </c>
      <c r="C41">
        <v>0</v>
      </c>
      <c r="D41">
        <v>22</v>
      </c>
      <c r="E41" s="4">
        <v>22</v>
      </c>
      <c r="F41">
        <v>22</v>
      </c>
      <c r="G41">
        <v>0</v>
      </c>
      <c r="H41">
        <v>22</v>
      </c>
      <c r="I41" s="4">
        <v>22</v>
      </c>
      <c r="J41" s="4">
        <v>22</v>
      </c>
      <c r="K41">
        <v>22</v>
      </c>
      <c r="L41">
        <v>22</v>
      </c>
      <c r="M41">
        <v>22</v>
      </c>
      <c r="N41">
        <v>22</v>
      </c>
      <c r="O41">
        <v>0</v>
      </c>
      <c r="P41">
        <v>22</v>
      </c>
      <c r="Q41" s="4">
        <v>22</v>
      </c>
      <c r="R41" s="4">
        <v>22</v>
      </c>
      <c r="S41" s="4">
        <v>22</v>
      </c>
      <c r="T41" s="4">
        <v>22</v>
      </c>
      <c r="U41">
        <v>22</v>
      </c>
      <c r="V41">
        <v>32</v>
      </c>
      <c r="W41">
        <v>0</v>
      </c>
      <c r="X41">
        <v>22</v>
      </c>
      <c r="Y41">
        <v>22</v>
      </c>
      <c r="Z41">
        <v>0</v>
      </c>
      <c r="AA41" s="4">
        <v>22</v>
      </c>
      <c r="AB41" s="4">
        <v>22</v>
      </c>
      <c r="AC41" s="4">
        <v>22</v>
      </c>
      <c r="AD41">
        <v>22</v>
      </c>
      <c r="AE41">
        <v>22</v>
      </c>
      <c r="AF41" s="4">
        <v>22</v>
      </c>
      <c r="AH41">
        <f>SUM(B41:AF41)</f>
        <v>582</v>
      </c>
      <c r="AI41" s="2" t="s">
        <v>5</v>
      </c>
    </row>
    <row r="42" spans="1:37" x14ac:dyDescent="0.3">
      <c r="A42" t="s">
        <v>14</v>
      </c>
      <c r="L42">
        <v>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>
        <v>5</v>
      </c>
      <c r="V42">
        <v>0</v>
      </c>
      <c r="W42">
        <v>0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0</v>
      </c>
      <c r="AE42">
        <v>0</v>
      </c>
      <c r="AH42">
        <f>SUM(B42:AF42)</f>
        <v>15</v>
      </c>
      <c r="AI42" t="s">
        <v>14</v>
      </c>
    </row>
    <row r="43" spans="1:37" x14ac:dyDescent="0.3">
      <c r="A43" s="2" t="s">
        <v>0</v>
      </c>
      <c r="E43">
        <v>1000</v>
      </c>
      <c r="J43">
        <v>202</v>
      </c>
      <c r="M43">
        <v>200</v>
      </c>
      <c r="N43">
        <v>1000</v>
      </c>
      <c r="AB43">
        <v>1010</v>
      </c>
      <c r="AD43">
        <v>200</v>
      </c>
      <c r="AH43">
        <f t="shared" ref="AH43:AH58" si="2">SUM(B43:AF43)</f>
        <v>3612</v>
      </c>
      <c r="AI43" s="2" t="s">
        <v>0</v>
      </c>
    </row>
    <row r="44" spans="1:37" x14ac:dyDescent="0.3">
      <c r="A44" s="2" t="s">
        <v>16</v>
      </c>
      <c r="F44">
        <v>8</v>
      </c>
      <c r="I44">
        <v>40</v>
      </c>
      <c r="J44" s="4">
        <v>13</v>
      </c>
      <c r="K44">
        <v>50</v>
      </c>
      <c r="N44">
        <v>170</v>
      </c>
      <c r="P44">
        <v>13</v>
      </c>
      <c r="S44">
        <v>100</v>
      </c>
      <c r="T44" s="4">
        <v>20</v>
      </c>
      <c r="U44">
        <v>10</v>
      </c>
      <c r="V44">
        <v>30</v>
      </c>
      <c r="W44">
        <v>50</v>
      </c>
      <c r="X44">
        <v>30</v>
      </c>
      <c r="Y44">
        <v>30</v>
      </c>
      <c r="AB44">
        <v>170</v>
      </c>
      <c r="AD44">
        <v>20</v>
      </c>
      <c r="AH44">
        <f t="shared" si="2"/>
        <v>754</v>
      </c>
      <c r="AI44" s="2" t="s">
        <v>16</v>
      </c>
    </row>
    <row r="45" spans="1:37" x14ac:dyDescent="0.3">
      <c r="A45" s="2" t="s">
        <v>18</v>
      </c>
      <c r="H45">
        <v>76</v>
      </c>
      <c r="J45" s="4">
        <v>341</v>
      </c>
      <c r="Q45" s="4">
        <v>258</v>
      </c>
      <c r="R45">
        <v>415</v>
      </c>
      <c r="S45" s="4">
        <v>80</v>
      </c>
      <c r="T45" s="4">
        <v>242</v>
      </c>
      <c r="W45">
        <v>1255</v>
      </c>
      <c r="Y45" s="4">
        <v>239</v>
      </c>
      <c r="Z45">
        <v>45</v>
      </c>
      <c r="AA45" s="4">
        <v>163</v>
      </c>
      <c r="AB45">
        <v>170</v>
      </c>
      <c r="AC45" s="4"/>
      <c r="AH45">
        <f t="shared" si="2"/>
        <v>3284</v>
      </c>
      <c r="AI45" s="2" t="s">
        <v>18</v>
      </c>
    </row>
    <row r="46" spans="1:37" x14ac:dyDescent="0.3">
      <c r="A46" s="2" t="s">
        <v>2</v>
      </c>
      <c r="E46">
        <v>14</v>
      </c>
      <c r="H46">
        <v>50</v>
      </c>
      <c r="L46">
        <v>30</v>
      </c>
      <c r="N46">
        <v>150</v>
      </c>
      <c r="Q46">
        <v>14</v>
      </c>
      <c r="R46" s="4">
        <v>75</v>
      </c>
      <c r="S46">
        <v>25</v>
      </c>
      <c r="T46" s="4"/>
      <c r="V46" s="4">
        <v>81</v>
      </c>
      <c r="X46">
        <v>26</v>
      </c>
      <c r="Z46">
        <v>30</v>
      </c>
      <c r="AA46" s="4">
        <v>88</v>
      </c>
      <c r="AB46">
        <v>70</v>
      </c>
      <c r="AE46">
        <v>25</v>
      </c>
      <c r="AF46" s="4">
        <v>102</v>
      </c>
      <c r="AH46">
        <f t="shared" si="2"/>
        <v>780</v>
      </c>
      <c r="AI46" s="2" t="s">
        <v>2</v>
      </c>
    </row>
    <row r="47" spans="1:37" x14ac:dyDescent="0.3">
      <c r="A47" s="2" t="s">
        <v>19</v>
      </c>
      <c r="E47">
        <v>30</v>
      </c>
      <c r="F47">
        <v>65</v>
      </c>
      <c r="L47">
        <v>20</v>
      </c>
      <c r="M47">
        <v>30</v>
      </c>
      <c r="N47">
        <v>50</v>
      </c>
      <c r="Q47" s="4">
        <v>55</v>
      </c>
      <c r="R47" s="4">
        <v>120</v>
      </c>
      <c r="S47" s="4">
        <v>82</v>
      </c>
      <c r="T47" s="4"/>
      <c r="V47" s="4">
        <v>20</v>
      </c>
      <c r="W47">
        <v>50</v>
      </c>
      <c r="AA47">
        <v>25</v>
      </c>
      <c r="AB47">
        <v>80</v>
      </c>
      <c r="AC47">
        <v>25</v>
      </c>
      <c r="AF47">
        <v>20</v>
      </c>
      <c r="AH47">
        <f t="shared" si="2"/>
        <v>672</v>
      </c>
      <c r="AI47" s="2" t="s">
        <v>19</v>
      </c>
    </row>
    <row r="48" spans="1:37" x14ac:dyDescent="0.3">
      <c r="A48" s="2" t="s">
        <v>7</v>
      </c>
      <c r="B48">
        <v>50</v>
      </c>
      <c r="G48">
        <v>30</v>
      </c>
      <c r="S48">
        <v>50</v>
      </c>
      <c r="U48">
        <v>20</v>
      </c>
      <c r="AA48">
        <v>30</v>
      </c>
      <c r="AH48">
        <f t="shared" si="2"/>
        <v>180</v>
      </c>
      <c r="AI48" s="2" t="s">
        <v>7</v>
      </c>
    </row>
    <row r="49" spans="1:37" x14ac:dyDescent="0.3">
      <c r="A49" s="2" t="s">
        <v>15</v>
      </c>
      <c r="K49">
        <v>232</v>
      </c>
      <c r="L49">
        <v>241</v>
      </c>
      <c r="M49">
        <v>286</v>
      </c>
      <c r="N49">
        <v>268</v>
      </c>
      <c r="O49">
        <v>151</v>
      </c>
      <c r="AH49">
        <f t="shared" si="2"/>
        <v>1178</v>
      </c>
      <c r="AI49" s="2" t="s">
        <v>15</v>
      </c>
    </row>
    <row r="50" spans="1:37" x14ac:dyDescent="0.3">
      <c r="A50" s="2" t="s">
        <v>13</v>
      </c>
      <c r="K50">
        <v>200</v>
      </c>
      <c r="AH50">
        <f t="shared" si="2"/>
        <v>200</v>
      </c>
      <c r="AI50" s="2" t="s">
        <v>13</v>
      </c>
    </row>
    <row r="51" spans="1:37" x14ac:dyDescent="0.3">
      <c r="A51" s="2" t="s">
        <v>9</v>
      </c>
      <c r="G51">
        <v>350</v>
      </c>
      <c r="AH51">
        <f t="shared" si="2"/>
        <v>350</v>
      </c>
      <c r="AI51" s="2" t="s">
        <v>9</v>
      </c>
    </row>
    <row r="52" spans="1:37" x14ac:dyDescent="0.3">
      <c r="A52" s="2" t="s">
        <v>17</v>
      </c>
      <c r="C52">
        <v>471</v>
      </c>
      <c r="AH52">
        <f t="shared" si="2"/>
        <v>471</v>
      </c>
      <c r="AI52" s="2" t="s">
        <v>17</v>
      </c>
    </row>
    <row r="53" spans="1:37" x14ac:dyDescent="0.3">
      <c r="A53" s="2" t="s">
        <v>20</v>
      </c>
      <c r="O53">
        <v>150</v>
      </c>
      <c r="AB53">
        <v>110</v>
      </c>
      <c r="AH53">
        <f t="shared" si="2"/>
        <v>260</v>
      </c>
      <c r="AI53" s="2" t="s">
        <v>20</v>
      </c>
    </row>
    <row r="54" spans="1:37" x14ac:dyDescent="0.3">
      <c r="A54" s="2" t="s">
        <v>31</v>
      </c>
      <c r="AE54">
        <v>10843</v>
      </c>
      <c r="AH54">
        <f t="shared" si="2"/>
        <v>10843</v>
      </c>
      <c r="AI54" s="2" t="s">
        <v>31</v>
      </c>
    </row>
    <row r="55" spans="1:37" x14ac:dyDescent="0.3">
      <c r="A55" s="2" t="s">
        <v>12</v>
      </c>
      <c r="I55">
        <v>10</v>
      </c>
      <c r="K55" s="3"/>
      <c r="L55" s="3"/>
      <c r="N55">
        <v>38</v>
      </c>
      <c r="Q55">
        <v>10</v>
      </c>
      <c r="T55">
        <v>750</v>
      </c>
      <c r="X55">
        <v>10</v>
      </c>
      <c r="AH55">
        <f t="shared" si="2"/>
        <v>818</v>
      </c>
      <c r="AI55" s="2" t="s">
        <v>12</v>
      </c>
    </row>
    <row r="56" spans="1:37" x14ac:dyDescent="0.3">
      <c r="A56" s="2" t="s">
        <v>1</v>
      </c>
      <c r="AD56">
        <v>500</v>
      </c>
      <c r="AH56">
        <f t="shared" si="2"/>
        <v>500</v>
      </c>
      <c r="AI56" s="2" t="s">
        <v>1</v>
      </c>
    </row>
    <row r="57" spans="1:37" x14ac:dyDescent="0.3">
      <c r="A57" s="2" t="s">
        <v>30</v>
      </c>
      <c r="G57">
        <v>10</v>
      </c>
      <c r="N57">
        <v>60</v>
      </c>
      <c r="S57">
        <v>30</v>
      </c>
      <c r="AB57">
        <v>51</v>
      </c>
      <c r="AH57">
        <f t="shared" si="2"/>
        <v>151</v>
      </c>
      <c r="AI57" s="2" t="s">
        <v>30</v>
      </c>
    </row>
    <row r="58" spans="1:37" x14ac:dyDescent="0.3">
      <c r="A58" s="2" t="s">
        <v>4</v>
      </c>
      <c r="G58">
        <v>10</v>
      </c>
      <c r="L58">
        <v>40</v>
      </c>
      <c r="V58">
        <v>10</v>
      </c>
      <c r="AH58">
        <f t="shared" si="2"/>
        <v>60</v>
      </c>
      <c r="AI58" s="2" t="s">
        <v>4</v>
      </c>
    </row>
    <row r="59" spans="1:37" x14ac:dyDescent="0.3">
      <c r="Q59" s="6">
        <f>SUM(B41:AF58)</f>
        <v>24710</v>
      </c>
      <c r="R59">
        <v>-10843</v>
      </c>
      <c r="AK59">
        <f>SUM(AK39,Q59)</f>
        <v>61561</v>
      </c>
    </row>
    <row r="60" spans="1:37" x14ac:dyDescent="0.3">
      <c r="B60" s="1">
        <v>44652</v>
      </c>
      <c r="C60" s="1">
        <v>44653</v>
      </c>
      <c r="D60" s="1">
        <v>44654</v>
      </c>
      <c r="E60" s="1">
        <v>44655</v>
      </c>
      <c r="F60" s="1">
        <v>44656</v>
      </c>
      <c r="G60" s="1">
        <v>44657</v>
      </c>
      <c r="H60" s="1">
        <v>44658</v>
      </c>
      <c r="I60" s="1">
        <v>44659</v>
      </c>
      <c r="J60" s="1">
        <v>44660</v>
      </c>
      <c r="K60" s="1">
        <v>44661</v>
      </c>
      <c r="L60" s="1">
        <v>44662</v>
      </c>
      <c r="M60" s="1">
        <v>44663</v>
      </c>
      <c r="N60" s="1">
        <v>44664</v>
      </c>
      <c r="O60" s="1">
        <v>44665</v>
      </c>
      <c r="P60" s="1">
        <v>44666</v>
      </c>
      <c r="Q60" s="1">
        <v>44667</v>
      </c>
      <c r="R60" s="1">
        <v>44668</v>
      </c>
      <c r="S60" s="1">
        <v>44669</v>
      </c>
      <c r="T60" s="1">
        <v>44670</v>
      </c>
      <c r="U60" s="1">
        <v>44671</v>
      </c>
      <c r="V60" s="1">
        <v>44672</v>
      </c>
      <c r="W60" s="1">
        <v>44673</v>
      </c>
      <c r="X60" s="1">
        <v>44674</v>
      </c>
      <c r="Y60" s="1">
        <v>44675</v>
      </c>
      <c r="Z60" s="1">
        <v>44676</v>
      </c>
      <c r="AA60" s="1">
        <v>44677</v>
      </c>
      <c r="AB60" s="1">
        <v>44678</v>
      </c>
      <c r="AC60" s="1">
        <v>44679</v>
      </c>
      <c r="AD60" s="1">
        <v>44680</v>
      </c>
      <c r="AE60" s="1">
        <v>44681</v>
      </c>
    </row>
    <row r="61" spans="1:37" x14ac:dyDescent="0.3">
      <c r="A61" s="2" t="s">
        <v>5</v>
      </c>
      <c r="B61">
        <v>22</v>
      </c>
      <c r="C61" s="4">
        <v>22</v>
      </c>
      <c r="D61">
        <v>22</v>
      </c>
      <c r="E61">
        <v>28</v>
      </c>
      <c r="F61">
        <v>0</v>
      </c>
      <c r="G61" s="4">
        <v>22</v>
      </c>
      <c r="H61" s="4">
        <v>22</v>
      </c>
      <c r="I61" s="4">
        <v>22</v>
      </c>
      <c r="J61" s="4">
        <v>22</v>
      </c>
      <c r="K61" s="4">
        <v>29</v>
      </c>
      <c r="L61" s="4">
        <v>0</v>
      </c>
      <c r="M61" s="4">
        <v>22</v>
      </c>
      <c r="N61" s="4">
        <v>22</v>
      </c>
      <c r="O61" s="4">
        <v>0</v>
      </c>
      <c r="P61">
        <v>22</v>
      </c>
      <c r="Q61" s="4">
        <v>0</v>
      </c>
      <c r="R61" s="4">
        <v>27</v>
      </c>
      <c r="S61">
        <v>29</v>
      </c>
      <c r="T61">
        <v>11</v>
      </c>
      <c r="U61" s="4">
        <v>27</v>
      </c>
      <c r="V61">
        <v>22</v>
      </c>
      <c r="W61" s="4">
        <v>22</v>
      </c>
      <c r="X61">
        <v>0</v>
      </c>
      <c r="Y61">
        <v>22</v>
      </c>
      <c r="Z61">
        <v>22</v>
      </c>
      <c r="AA61">
        <v>51</v>
      </c>
      <c r="AB61">
        <v>0</v>
      </c>
      <c r="AC61">
        <v>22</v>
      </c>
      <c r="AD61">
        <v>22</v>
      </c>
      <c r="AE61">
        <v>22</v>
      </c>
      <c r="AH61">
        <f>SUM(B61:AE61)</f>
        <v>576</v>
      </c>
      <c r="AI61" s="2"/>
    </row>
    <row r="62" spans="1:37" x14ac:dyDescent="0.3">
      <c r="A62" t="s">
        <v>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</v>
      </c>
      <c r="AD62">
        <v>5</v>
      </c>
      <c r="AE62">
        <v>5</v>
      </c>
      <c r="AH62">
        <f>SUM(B62:AE62)</f>
        <v>15</v>
      </c>
    </row>
    <row r="63" spans="1:37" x14ac:dyDescent="0.3">
      <c r="A63" s="2" t="s">
        <v>0</v>
      </c>
      <c r="F63">
        <v>1000</v>
      </c>
      <c r="H63">
        <v>200</v>
      </c>
      <c r="O63">
        <v>1500</v>
      </c>
      <c r="Q63">
        <v>2500</v>
      </c>
      <c r="W63">
        <v>202</v>
      </c>
      <c r="Y63">
        <v>1000</v>
      </c>
      <c r="AC63">
        <v>200</v>
      </c>
      <c r="AH63">
        <f t="shared" ref="AH63:AH81" si="3">SUM(B63:AE63)</f>
        <v>6602</v>
      </c>
      <c r="AI63" s="2"/>
    </row>
    <row r="64" spans="1:37" x14ac:dyDescent="0.3">
      <c r="A64" s="2" t="s">
        <v>16</v>
      </c>
      <c r="B64">
        <v>10</v>
      </c>
      <c r="C64">
        <v>85</v>
      </c>
      <c r="D64" s="4">
        <v>58</v>
      </c>
      <c r="E64">
        <v>15</v>
      </c>
      <c r="G64">
        <v>25</v>
      </c>
      <c r="H64">
        <v>10</v>
      </c>
      <c r="I64">
        <v>28</v>
      </c>
      <c r="K64">
        <v>20</v>
      </c>
      <c r="M64" s="4">
        <v>24</v>
      </c>
      <c r="N64">
        <v>147</v>
      </c>
      <c r="R64" s="4">
        <v>16</v>
      </c>
      <c r="S64">
        <v>22</v>
      </c>
      <c r="T64">
        <v>18</v>
      </c>
      <c r="U64" s="4">
        <v>40</v>
      </c>
      <c r="V64">
        <v>44</v>
      </c>
      <c r="W64">
        <v>18</v>
      </c>
      <c r="Y64">
        <v>25</v>
      </c>
      <c r="AB64">
        <v>335</v>
      </c>
      <c r="AC64">
        <v>20</v>
      </c>
      <c r="AE64">
        <v>40</v>
      </c>
      <c r="AH64">
        <f t="shared" si="3"/>
        <v>1000</v>
      </c>
      <c r="AI64" s="2"/>
    </row>
    <row r="65" spans="1:35" x14ac:dyDescent="0.3">
      <c r="A65" s="2" t="s">
        <v>18</v>
      </c>
      <c r="B65">
        <v>1105</v>
      </c>
      <c r="F65">
        <v>12</v>
      </c>
      <c r="G65" s="4">
        <v>50</v>
      </c>
      <c r="H65" s="4">
        <v>240</v>
      </c>
      <c r="I65">
        <v>158</v>
      </c>
      <c r="J65" s="4">
        <v>666</v>
      </c>
      <c r="K65" s="4"/>
      <c r="L65">
        <v>20</v>
      </c>
      <c r="M65" s="4">
        <v>89</v>
      </c>
      <c r="Q65">
        <v>130</v>
      </c>
      <c r="S65">
        <v>90</v>
      </c>
      <c r="T65">
        <v>81</v>
      </c>
      <c r="U65" s="4">
        <v>114</v>
      </c>
      <c r="X65">
        <v>2448</v>
      </c>
      <c r="AH65">
        <f t="shared" si="3"/>
        <v>5203</v>
      </c>
      <c r="AI65" s="2"/>
    </row>
    <row r="66" spans="1:35" x14ac:dyDescent="0.3">
      <c r="A66" s="2" t="s">
        <v>2</v>
      </c>
      <c r="B66">
        <v>20</v>
      </c>
      <c r="C66" s="4">
        <v>17</v>
      </c>
      <c r="G66">
        <v>60</v>
      </c>
      <c r="I66">
        <v>60</v>
      </c>
      <c r="J66">
        <v>33</v>
      </c>
      <c r="M66">
        <v>20</v>
      </c>
      <c r="N66">
        <v>40</v>
      </c>
      <c r="P66">
        <v>20</v>
      </c>
      <c r="R66">
        <v>17</v>
      </c>
      <c r="T66">
        <v>50</v>
      </c>
      <c r="U66">
        <v>22</v>
      </c>
      <c r="W66">
        <v>30</v>
      </c>
      <c r="X66">
        <v>20</v>
      </c>
      <c r="Z66">
        <v>46</v>
      </c>
      <c r="AB66">
        <v>100</v>
      </c>
      <c r="AC66">
        <v>26</v>
      </c>
      <c r="AE66">
        <v>20</v>
      </c>
      <c r="AH66">
        <f t="shared" si="3"/>
        <v>601</v>
      </c>
      <c r="AI66" s="2"/>
    </row>
    <row r="67" spans="1:35" x14ac:dyDescent="0.3">
      <c r="A67" s="2" t="s">
        <v>19</v>
      </c>
      <c r="E67">
        <v>210</v>
      </c>
      <c r="F67">
        <v>1</v>
      </c>
      <c r="I67">
        <v>10</v>
      </c>
      <c r="J67">
        <v>20</v>
      </c>
      <c r="P67" s="4">
        <v>75</v>
      </c>
      <c r="W67">
        <v>50</v>
      </c>
      <c r="Y67">
        <v>87</v>
      </c>
      <c r="AE67">
        <v>25</v>
      </c>
      <c r="AH67">
        <f t="shared" si="3"/>
        <v>478</v>
      </c>
      <c r="AI67" s="2"/>
    </row>
    <row r="68" spans="1:35" x14ac:dyDescent="0.3">
      <c r="A68" s="2" t="s">
        <v>7</v>
      </c>
      <c r="C68">
        <v>30</v>
      </c>
      <c r="K68">
        <v>30</v>
      </c>
      <c r="Q68">
        <v>30</v>
      </c>
      <c r="U68">
        <v>20</v>
      </c>
      <c r="AC68">
        <v>20</v>
      </c>
      <c r="AH68">
        <f t="shared" si="3"/>
        <v>130</v>
      </c>
      <c r="AI68" s="2"/>
    </row>
    <row r="69" spans="1:35" x14ac:dyDescent="0.3">
      <c r="A69" s="2" t="s">
        <v>15</v>
      </c>
      <c r="K69">
        <v>250</v>
      </c>
      <c r="L69">
        <v>245</v>
      </c>
      <c r="M69">
        <v>250</v>
      </c>
      <c r="N69">
        <v>282</v>
      </c>
      <c r="O69">
        <v>151</v>
      </c>
      <c r="AH69">
        <f t="shared" si="3"/>
        <v>1178</v>
      </c>
      <c r="AI69" s="2"/>
    </row>
    <row r="70" spans="1:35" x14ac:dyDescent="0.3">
      <c r="A70" s="2" t="s">
        <v>13</v>
      </c>
      <c r="J70">
        <v>200</v>
      </c>
      <c r="AH70">
        <f t="shared" si="3"/>
        <v>200</v>
      </c>
      <c r="AI70" s="2"/>
    </row>
    <row r="71" spans="1:35" x14ac:dyDescent="0.3">
      <c r="A71" s="2" t="s">
        <v>1</v>
      </c>
      <c r="N71">
        <v>400</v>
      </c>
      <c r="Z71">
        <v>50</v>
      </c>
      <c r="AH71">
        <f t="shared" si="3"/>
        <v>450</v>
      </c>
      <c r="AI71" s="2"/>
    </row>
    <row r="72" spans="1:35" x14ac:dyDescent="0.3">
      <c r="A72" s="2" t="s">
        <v>9</v>
      </c>
      <c r="G72">
        <v>350</v>
      </c>
      <c r="AH72">
        <f t="shared" si="3"/>
        <v>350</v>
      </c>
      <c r="AI72" s="2"/>
    </row>
    <row r="73" spans="1:35" x14ac:dyDescent="0.3">
      <c r="A73" s="2" t="s">
        <v>17</v>
      </c>
      <c r="D73">
        <v>471</v>
      </c>
      <c r="AH73">
        <f t="shared" si="3"/>
        <v>471</v>
      </c>
      <c r="AI73" s="2"/>
    </row>
    <row r="74" spans="1:35" x14ac:dyDescent="0.3">
      <c r="A74" s="2" t="s">
        <v>21</v>
      </c>
      <c r="B74">
        <v>40</v>
      </c>
      <c r="K74">
        <v>22</v>
      </c>
      <c r="AH74">
        <f t="shared" si="3"/>
        <v>62</v>
      </c>
      <c r="AI74" s="2"/>
    </row>
    <row r="75" spans="1:35" x14ac:dyDescent="0.3">
      <c r="A75" s="2" t="s">
        <v>20</v>
      </c>
      <c r="F75">
        <v>200</v>
      </c>
      <c r="AA75">
        <v>10</v>
      </c>
      <c r="AB75">
        <v>100</v>
      </c>
      <c r="AH75">
        <f t="shared" si="3"/>
        <v>310</v>
      </c>
      <c r="AI75" s="2"/>
    </row>
    <row r="76" spans="1:35" x14ac:dyDescent="0.3">
      <c r="A76" s="2" t="s">
        <v>11</v>
      </c>
      <c r="M76">
        <v>965</v>
      </c>
      <c r="T76" s="3"/>
      <c r="AA76" s="3"/>
      <c r="AH76">
        <f t="shared" si="3"/>
        <v>965</v>
      </c>
      <c r="AI76" s="2"/>
    </row>
    <row r="77" spans="1:35" x14ac:dyDescent="0.3">
      <c r="A77" s="2" t="s">
        <v>12</v>
      </c>
      <c r="P77">
        <v>4300</v>
      </c>
      <c r="S77">
        <v>600</v>
      </c>
      <c r="T77">
        <v>600</v>
      </c>
      <c r="U77" s="3"/>
      <c r="V77">
        <v>650</v>
      </c>
      <c r="W77" s="4">
        <v>96</v>
      </c>
      <c r="X77">
        <v>47172</v>
      </c>
      <c r="Y77">
        <v>350</v>
      </c>
      <c r="AA77">
        <v>30</v>
      </c>
      <c r="AB77" s="3"/>
      <c r="AH77">
        <f t="shared" si="3"/>
        <v>53798</v>
      </c>
      <c r="AI77" s="2" t="s">
        <v>12</v>
      </c>
    </row>
    <row r="78" spans="1:35" x14ac:dyDescent="0.3">
      <c r="A78" s="2" t="s">
        <v>32</v>
      </c>
      <c r="K78" s="3"/>
      <c r="L78">
        <v>1800</v>
      </c>
      <c r="P78" s="3"/>
      <c r="S78" s="3"/>
      <c r="W78" s="3"/>
      <c r="Z78" s="3"/>
      <c r="AD78" s="3"/>
      <c r="AH78">
        <f t="shared" si="3"/>
        <v>1800</v>
      </c>
      <c r="AI78" s="2"/>
    </row>
    <row r="79" spans="1:35" x14ac:dyDescent="0.3">
      <c r="A79" s="2" t="s">
        <v>23</v>
      </c>
      <c r="C79">
        <v>150</v>
      </c>
      <c r="O79">
        <v>256</v>
      </c>
      <c r="Q79">
        <v>653</v>
      </c>
      <c r="AH79">
        <f t="shared" si="3"/>
        <v>1059</v>
      </c>
      <c r="AI79" s="2"/>
    </row>
    <row r="80" spans="1:35" x14ac:dyDescent="0.3">
      <c r="A80" s="2" t="s">
        <v>30</v>
      </c>
      <c r="C80">
        <v>50</v>
      </c>
      <c r="O80">
        <v>120</v>
      </c>
      <c r="Q80">
        <v>150</v>
      </c>
      <c r="Y80">
        <v>80</v>
      </c>
      <c r="AH80">
        <f t="shared" si="3"/>
        <v>400</v>
      </c>
      <c r="AI80" s="2"/>
    </row>
    <row r="81" spans="1:37" x14ac:dyDescent="0.3">
      <c r="A81" s="2" t="s">
        <v>4</v>
      </c>
      <c r="G81">
        <v>40</v>
      </c>
      <c r="T81">
        <v>10</v>
      </c>
      <c r="W81">
        <v>135</v>
      </c>
      <c r="AC81">
        <v>45</v>
      </c>
      <c r="AD81">
        <v>7831</v>
      </c>
      <c r="AH81">
        <f t="shared" si="3"/>
        <v>8061</v>
      </c>
      <c r="AI81" s="2"/>
    </row>
    <row r="82" spans="1:37" x14ac:dyDescent="0.3">
      <c r="Q82" s="6">
        <f>SUM(B61:AE81)</f>
        <v>83709</v>
      </c>
      <c r="AK82">
        <f>SUM(AK59,Q82)</f>
        <v>145270</v>
      </c>
    </row>
    <row r="83" spans="1:37" x14ac:dyDescent="0.3">
      <c r="B83" s="1">
        <v>44682</v>
      </c>
      <c r="C83" s="1">
        <v>44683</v>
      </c>
      <c r="D83" s="1">
        <v>44684</v>
      </c>
      <c r="E83" s="1">
        <v>44685</v>
      </c>
      <c r="F83" s="1">
        <v>44686</v>
      </c>
      <c r="G83" s="1">
        <v>44687</v>
      </c>
      <c r="H83" s="1">
        <v>44688</v>
      </c>
      <c r="I83" s="1">
        <v>44689</v>
      </c>
      <c r="J83" s="1">
        <v>44690</v>
      </c>
      <c r="K83" s="1">
        <v>44691</v>
      </c>
      <c r="L83" s="1">
        <v>44692</v>
      </c>
      <c r="M83" s="1">
        <v>44693</v>
      </c>
      <c r="N83" s="1">
        <v>44694</v>
      </c>
      <c r="O83" s="1">
        <v>44695</v>
      </c>
      <c r="P83" s="1">
        <v>44696</v>
      </c>
      <c r="Q83" s="1">
        <v>44697</v>
      </c>
      <c r="R83" s="1">
        <v>44698</v>
      </c>
      <c r="S83" s="1">
        <v>44699</v>
      </c>
      <c r="T83" s="1">
        <v>44700</v>
      </c>
      <c r="U83" s="1">
        <v>44701</v>
      </c>
      <c r="V83" s="1">
        <v>44702</v>
      </c>
      <c r="W83" s="1">
        <v>44703</v>
      </c>
      <c r="X83" s="1">
        <v>44704</v>
      </c>
      <c r="Y83" s="1">
        <v>44705</v>
      </c>
      <c r="Z83" s="1">
        <v>44706</v>
      </c>
      <c r="AA83" s="1">
        <v>44707</v>
      </c>
      <c r="AB83" s="1">
        <v>44708</v>
      </c>
      <c r="AC83" s="1">
        <v>44709</v>
      </c>
      <c r="AD83" s="1">
        <v>44710</v>
      </c>
      <c r="AE83" s="1">
        <v>44711</v>
      </c>
      <c r="AF83" s="1">
        <v>44712</v>
      </c>
    </row>
    <row r="84" spans="1:37" x14ac:dyDescent="0.3">
      <c r="A84" s="2" t="s">
        <v>5</v>
      </c>
      <c r="B84">
        <v>22</v>
      </c>
      <c r="C84">
        <v>22</v>
      </c>
      <c r="D84" s="4">
        <v>22</v>
      </c>
      <c r="E84">
        <v>22</v>
      </c>
      <c r="F84">
        <v>22</v>
      </c>
      <c r="G84" s="4">
        <v>22</v>
      </c>
      <c r="H84" s="4">
        <v>22</v>
      </c>
      <c r="I84" s="4">
        <v>0</v>
      </c>
      <c r="J84" s="4">
        <v>26</v>
      </c>
      <c r="K84">
        <v>10</v>
      </c>
      <c r="L84" s="4">
        <v>22</v>
      </c>
      <c r="M84" s="4">
        <v>27</v>
      </c>
      <c r="N84" s="4">
        <v>22</v>
      </c>
      <c r="O84">
        <v>22</v>
      </c>
      <c r="P84" s="4">
        <v>0</v>
      </c>
      <c r="Q84" s="4">
        <v>22</v>
      </c>
      <c r="R84">
        <v>22</v>
      </c>
      <c r="S84">
        <v>22</v>
      </c>
      <c r="T84">
        <v>0</v>
      </c>
      <c r="U84">
        <v>21</v>
      </c>
      <c r="V84">
        <v>22</v>
      </c>
      <c r="W84">
        <v>0</v>
      </c>
      <c r="X84">
        <v>32</v>
      </c>
      <c r="Y84">
        <v>22</v>
      </c>
      <c r="Z84">
        <v>32</v>
      </c>
      <c r="AA84">
        <v>22</v>
      </c>
      <c r="AB84">
        <v>22</v>
      </c>
      <c r="AC84">
        <v>22</v>
      </c>
      <c r="AD84">
        <v>0</v>
      </c>
      <c r="AE84">
        <v>32</v>
      </c>
      <c r="AF84">
        <v>22</v>
      </c>
      <c r="AH84">
        <f>SUM(B84:AF84)</f>
        <v>598</v>
      </c>
      <c r="AI84" s="2" t="s">
        <v>5</v>
      </c>
    </row>
    <row r="85" spans="1:37" x14ac:dyDescent="0.3">
      <c r="A85" t="s">
        <v>14</v>
      </c>
      <c r="G85">
        <v>5</v>
      </c>
      <c r="I85">
        <v>0</v>
      </c>
      <c r="N85">
        <v>5</v>
      </c>
      <c r="P85">
        <v>0</v>
      </c>
      <c r="U85">
        <v>5</v>
      </c>
      <c r="V85">
        <v>5</v>
      </c>
      <c r="W85">
        <v>0</v>
      </c>
      <c r="X85">
        <v>0</v>
      </c>
      <c r="AD85">
        <v>0</v>
      </c>
      <c r="AH85">
        <f>SUM(B85:AF85)</f>
        <v>20</v>
      </c>
      <c r="AI85" t="s">
        <v>14</v>
      </c>
    </row>
    <row r="86" spans="1:37" x14ac:dyDescent="0.3">
      <c r="A86" s="2" t="s">
        <v>0</v>
      </c>
      <c r="D86">
        <v>250</v>
      </c>
      <c r="I86">
        <v>1010</v>
      </c>
      <c r="K86">
        <v>200</v>
      </c>
      <c r="T86">
        <v>2100</v>
      </c>
      <c r="AB86">
        <v>200</v>
      </c>
      <c r="AH86">
        <f t="shared" ref="AH86:AH101" si="4">SUM(B86:AF86)</f>
        <v>3760</v>
      </c>
      <c r="AI86" s="2" t="s">
        <v>0</v>
      </c>
    </row>
    <row r="87" spans="1:37" x14ac:dyDescent="0.3">
      <c r="A87" s="2" t="s">
        <v>16</v>
      </c>
      <c r="B87">
        <v>40</v>
      </c>
      <c r="D87">
        <v>50</v>
      </c>
      <c r="H87">
        <v>36</v>
      </c>
      <c r="O87">
        <v>23</v>
      </c>
      <c r="Q87">
        <v>35</v>
      </c>
      <c r="R87">
        <v>19</v>
      </c>
      <c r="S87">
        <v>76</v>
      </c>
      <c r="Y87">
        <v>280</v>
      </c>
      <c r="Z87">
        <v>40</v>
      </c>
      <c r="AA87">
        <v>20</v>
      </c>
      <c r="AF87">
        <v>58</v>
      </c>
      <c r="AH87">
        <f t="shared" si="4"/>
        <v>677</v>
      </c>
      <c r="AI87" s="2" t="s">
        <v>16</v>
      </c>
    </row>
    <row r="88" spans="1:37" x14ac:dyDescent="0.3">
      <c r="A88" s="2" t="s">
        <v>18</v>
      </c>
      <c r="D88">
        <v>45</v>
      </c>
      <c r="E88" s="4">
        <v>245</v>
      </c>
      <c r="G88" s="4">
        <v>46</v>
      </c>
      <c r="H88" s="4">
        <v>326</v>
      </c>
      <c r="J88" s="4">
        <v>39</v>
      </c>
      <c r="K88" s="4">
        <v>969</v>
      </c>
      <c r="L88">
        <v>76</v>
      </c>
      <c r="M88" s="4">
        <v>150</v>
      </c>
      <c r="N88">
        <v>22</v>
      </c>
      <c r="R88">
        <v>90</v>
      </c>
      <c r="S88">
        <v>45</v>
      </c>
      <c r="T88">
        <v>200</v>
      </c>
      <c r="AB88">
        <v>2314</v>
      </c>
      <c r="AC88">
        <v>45</v>
      </c>
      <c r="AF88">
        <v>25</v>
      </c>
      <c r="AH88">
        <f t="shared" si="4"/>
        <v>4637</v>
      </c>
      <c r="AI88" s="2" t="s">
        <v>18</v>
      </c>
    </row>
    <row r="89" spans="1:37" x14ac:dyDescent="0.3">
      <c r="A89" s="2" t="s">
        <v>2</v>
      </c>
      <c r="B89">
        <v>120</v>
      </c>
      <c r="C89">
        <v>20</v>
      </c>
      <c r="D89">
        <v>43</v>
      </c>
      <c r="E89">
        <v>20</v>
      </c>
      <c r="G89">
        <v>40</v>
      </c>
      <c r="I89">
        <v>100</v>
      </c>
      <c r="L89">
        <v>97</v>
      </c>
      <c r="M89">
        <v>18</v>
      </c>
      <c r="N89">
        <v>105</v>
      </c>
      <c r="P89">
        <v>90</v>
      </c>
      <c r="R89">
        <v>22</v>
      </c>
      <c r="S89">
        <v>50</v>
      </c>
      <c r="T89">
        <v>50</v>
      </c>
      <c r="V89">
        <v>23</v>
      </c>
      <c r="X89">
        <v>30</v>
      </c>
      <c r="Y89">
        <v>100</v>
      </c>
      <c r="AE89">
        <v>200</v>
      </c>
      <c r="AH89">
        <f t="shared" si="4"/>
        <v>1128</v>
      </c>
      <c r="AI89" s="2" t="s">
        <v>2</v>
      </c>
    </row>
    <row r="90" spans="1:37" x14ac:dyDescent="0.3">
      <c r="A90" s="2" t="s">
        <v>19</v>
      </c>
      <c r="B90">
        <v>50</v>
      </c>
      <c r="E90">
        <v>20</v>
      </c>
      <c r="L90">
        <v>20</v>
      </c>
      <c r="N90">
        <v>20</v>
      </c>
      <c r="S90">
        <v>20</v>
      </c>
      <c r="Y90">
        <v>20</v>
      </c>
      <c r="AB90">
        <v>20</v>
      </c>
      <c r="AC90" s="4">
        <v>55</v>
      </c>
      <c r="AH90">
        <f t="shared" si="4"/>
        <v>225</v>
      </c>
      <c r="AI90" s="2" t="s">
        <v>19</v>
      </c>
    </row>
    <row r="91" spans="1:37" x14ac:dyDescent="0.3">
      <c r="A91" s="2" t="s">
        <v>7</v>
      </c>
      <c r="D91">
        <v>30</v>
      </c>
      <c r="K91">
        <v>30</v>
      </c>
      <c r="N91">
        <v>50</v>
      </c>
      <c r="R91">
        <v>30</v>
      </c>
      <c r="V91">
        <v>30</v>
      </c>
      <c r="Y91">
        <v>40</v>
      </c>
      <c r="AH91">
        <f t="shared" si="4"/>
        <v>210</v>
      </c>
      <c r="AI91" s="2" t="s">
        <v>7</v>
      </c>
    </row>
    <row r="92" spans="1:37" x14ac:dyDescent="0.3">
      <c r="A92" s="2" t="s">
        <v>15</v>
      </c>
      <c r="K92">
        <v>285</v>
      </c>
      <c r="L92">
        <v>267</v>
      </c>
      <c r="M92">
        <v>134</v>
      </c>
      <c r="N92">
        <v>190</v>
      </c>
      <c r="O92">
        <v>279</v>
      </c>
      <c r="AH92">
        <f t="shared" si="4"/>
        <v>1155</v>
      </c>
      <c r="AI92" s="2" t="s">
        <v>15</v>
      </c>
    </row>
    <row r="93" spans="1:37" x14ac:dyDescent="0.3">
      <c r="A93" s="2" t="s">
        <v>13</v>
      </c>
      <c r="K93">
        <v>200</v>
      </c>
      <c r="AH93">
        <f t="shared" si="4"/>
        <v>200</v>
      </c>
      <c r="AI93" s="2" t="s">
        <v>13</v>
      </c>
    </row>
    <row r="94" spans="1:37" x14ac:dyDescent="0.3">
      <c r="A94" s="2" t="s">
        <v>1</v>
      </c>
      <c r="I94">
        <v>60</v>
      </c>
      <c r="V94">
        <v>300</v>
      </c>
      <c r="W94">
        <v>200</v>
      </c>
      <c r="AH94">
        <f t="shared" si="4"/>
        <v>560</v>
      </c>
      <c r="AI94" s="2" t="s">
        <v>1</v>
      </c>
    </row>
    <row r="95" spans="1:37" x14ac:dyDescent="0.3">
      <c r="A95" s="2" t="s">
        <v>9</v>
      </c>
      <c r="E95">
        <v>350</v>
      </c>
      <c r="AH95">
        <f t="shared" si="4"/>
        <v>350</v>
      </c>
      <c r="AI95" s="2" t="s">
        <v>9</v>
      </c>
    </row>
    <row r="96" spans="1:37" x14ac:dyDescent="0.3">
      <c r="A96" s="2" t="s">
        <v>17</v>
      </c>
      <c r="E96">
        <v>471</v>
      </c>
      <c r="AB96">
        <v>107</v>
      </c>
      <c r="AH96">
        <f t="shared" si="4"/>
        <v>578</v>
      </c>
      <c r="AI96" s="2" t="s">
        <v>17</v>
      </c>
    </row>
    <row r="97" spans="1:37" x14ac:dyDescent="0.3">
      <c r="A97" s="2" t="s">
        <v>20</v>
      </c>
      <c r="B97">
        <v>130</v>
      </c>
      <c r="U97">
        <v>150</v>
      </c>
      <c r="AE97">
        <v>25</v>
      </c>
      <c r="AH97">
        <f t="shared" si="4"/>
        <v>305</v>
      </c>
      <c r="AI97" s="2" t="s">
        <v>20</v>
      </c>
    </row>
    <row r="98" spans="1:37" x14ac:dyDescent="0.3">
      <c r="A98" s="2" t="s">
        <v>12</v>
      </c>
      <c r="B98">
        <v>150</v>
      </c>
      <c r="D98">
        <v>15</v>
      </c>
      <c r="H98">
        <v>4878</v>
      </c>
      <c r="M98">
        <v>600</v>
      </c>
      <c r="N98">
        <v>1370</v>
      </c>
      <c r="AF98">
        <v>30</v>
      </c>
      <c r="AH98">
        <f t="shared" si="4"/>
        <v>7043</v>
      </c>
      <c r="AI98" s="2" t="s">
        <v>12</v>
      </c>
    </row>
    <row r="99" spans="1:37" x14ac:dyDescent="0.3">
      <c r="A99" s="2" t="s">
        <v>23</v>
      </c>
      <c r="T99">
        <v>325</v>
      </c>
      <c r="AH99">
        <f t="shared" si="4"/>
        <v>325</v>
      </c>
      <c r="AI99" s="2" t="s">
        <v>23</v>
      </c>
    </row>
    <row r="100" spans="1:37" x14ac:dyDescent="0.3">
      <c r="A100" s="2" t="s">
        <v>30</v>
      </c>
      <c r="I100">
        <v>500</v>
      </c>
      <c r="AH100">
        <f t="shared" si="4"/>
        <v>500</v>
      </c>
      <c r="AI100" s="2" t="s">
        <v>30</v>
      </c>
    </row>
    <row r="101" spans="1:37" x14ac:dyDescent="0.3">
      <c r="A101" s="2" t="s">
        <v>4</v>
      </c>
      <c r="B101">
        <v>120</v>
      </c>
      <c r="F101">
        <v>40</v>
      </c>
      <c r="S101">
        <v>150</v>
      </c>
      <c r="AA101">
        <v>570</v>
      </c>
      <c r="AD101">
        <v>8986</v>
      </c>
      <c r="AH101">
        <f t="shared" si="4"/>
        <v>9866</v>
      </c>
      <c r="AI101" s="2" t="s">
        <v>4</v>
      </c>
    </row>
    <row r="102" spans="1:37" x14ac:dyDescent="0.3">
      <c r="Q102" s="6">
        <f>SUM(B84:AF101)</f>
        <v>32137</v>
      </c>
      <c r="R102">
        <v>-6248</v>
      </c>
      <c r="AK102">
        <f>SUM(AK82,Q102)</f>
        <v>177407</v>
      </c>
    </row>
    <row r="103" spans="1:37" x14ac:dyDescent="0.3">
      <c r="B103" s="1">
        <v>44713</v>
      </c>
      <c r="C103" s="1">
        <v>44714</v>
      </c>
      <c r="D103" s="1">
        <v>44715</v>
      </c>
      <c r="E103" s="1">
        <v>44716</v>
      </c>
      <c r="F103" s="1">
        <v>44717</v>
      </c>
      <c r="G103" s="1">
        <v>44718</v>
      </c>
      <c r="H103" s="1">
        <v>44719</v>
      </c>
      <c r="I103" s="1">
        <v>44720</v>
      </c>
      <c r="J103" s="1">
        <v>44721</v>
      </c>
      <c r="K103" s="1">
        <v>44722</v>
      </c>
      <c r="L103" s="1">
        <v>44723</v>
      </c>
      <c r="M103" s="1">
        <v>44724</v>
      </c>
      <c r="N103" s="1">
        <v>44725</v>
      </c>
      <c r="O103" s="1">
        <v>44726</v>
      </c>
      <c r="P103" s="1">
        <v>44727</v>
      </c>
      <c r="Q103" s="1">
        <v>44728</v>
      </c>
      <c r="R103" s="1">
        <v>44729</v>
      </c>
      <c r="S103" s="1">
        <v>44730</v>
      </c>
      <c r="T103" s="1">
        <v>44731</v>
      </c>
      <c r="U103" s="1">
        <v>44732</v>
      </c>
      <c r="V103" s="1">
        <v>44733</v>
      </c>
      <c r="W103" s="1">
        <v>44734</v>
      </c>
      <c r="X103" s="1">
        <v>44735</v>
      </c>
      <c r="Y103" s="1">
        <v>44736</v>
      </c>
      <c r="Z103" s="1">
        <v>44737</v>
      </c>
      <c r="AA103" s="1">
        <v>44738</v>
      </c>
      <c r="AB103" s="1">
        <v>44739</v>
      </c>
      <c r="AC103" s="1">
        <v>44740</v>
      </c>
      <c r="AD103" s="1">
        <v>44741</v>
      </c>
      <c r="AE103" s="1">
        <v>44742</v>
      </c>
    </row>
    <row r="104" spans="1:37" x14ac:dyDescent="0.3">
      <c r="A104" s="2" t="s">
        <v>5</v>
      </c>
      <c r="B104">
        <v>32</v>
      </c>
      <c r="C104">
        <v>22</v>
      </c>
      <c r="D104">
        <v>22</v>
      </c>
      <c r="E104" s="4">
        <v>22</v>
      </c>
      <c r="F104">
        <v>0</v>
      </c>
      <c r="G104">
        <v>32</v>
      </c>
      <c r="H104">
        <v>22</v>
      </c>
      <c r="I104">
        <v>22</v>
      </c>
      <c r="J104">
        <v>22</v>
      </c>
      <c r="K104" s="4">
        <v>22</v>
      </c>
      <c r="L104" s="4">
        <v>22</v>
      </c>
      <c r="M104">
        <v>0</v>
      </c>
      <c r="N104">
        <v>22</v>
      </c>
      <c r="O104">
        <v>22</v>
      </c>
      <c r="P104">
        <v>22</v>
      </c>
      <c r="Q104">
        <v>22</v>
      </c>
      <c r="R104">
        <v>22</v>
      </c>
      <c r="S104">
        <v>22</v>
      </c>
      <c r="T104">
        <v>0</v>
      </c>
      <c r="U104">
        <v>0</v>
      </c>
      <c r="V104">
        <v>22</v>
      </c>
      <c r="W104" s="4">
        <v>22</v>
      </c>
      <c r="X104" s="4">
        <v>22</v>
      </c>
      <c r="Y104">
        <v>22</v>
      </c>
      <c r="Z104" s="4">
        <v>22</v>
      </c>
      <c r="AA104" s="4">
        <v>30</v>
      </c>
      <c r="AB104">
        <v>22</v>
      </c>
      <c r="AC104">
        <v>22</v>
      </c>
      <c r="AD104">
        <v>22</v>
      </c>
      <c r="AE104">
        <v>22</v>
      </c>
      <c r="AH104">
        <f>SUM(B104:AE104)</f>
        <v>600</v>
      </c>
      <c r="AI104" s="2" t="s">
        <v>5</v>
      </c>
    </row>
    <row r="105" spans="1:37" x14ac:dyDescent="0.3">
      <c r="A105" t="s">
        <v>14</v>
      </c>
      <c r="K105">
        <v>5</v>
      </c>
      <c r="L105">
        <v>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</v>
      </c>
      <c r="S105">
        <v>5</v>
      </c>
      <c r="T105">
        <v>0</v>
      </c>
      <c r="V105">
        <v>0</v>
      </c>
      <c r="Z105">
        <v>5</v>
      </c>
      <c r="AA105">
        <v>5</v>
      </c>
      <c r="AH105">
        <f>SUM(B105:AE105)</f>
        <v>30</v>
      </c>
      <c r="AI105" t="s">
        <v>14</v>
      </c>
    </row>
    <row r="106" spans="1:37" x14ac:dyDescent="0.3">
      <c r="A106" s="2" t="s">
        <v>0</v>
      </c>
      <c r="D106">
        <v>1000</v>
      </c>
      <c r="F106">
        <v>1000</v>
      </c>
      <c r="G106">
        <v>200</v>
      </c>
      <c r="N106">
        <v>202</v>
      </c>
      <c r="T106">
        <v>3000</v>
      </c>
      <c r="AE106">
        <v>202</v>
      </c>
      <c r="AH106">
        <f t="shared" ref="AH106:AH118" si="5">SUM(B106:AE106)</f>
        <v>5604</v>
      </c>
      <c r="AI106" s="2" t="s">
        <v>0</v>
      </c>
    </row>
    <row r="107" spans="1:37" x14ac:dyDescent="0.3">
      <c r="A107" s="2" t="s">
        <v>16</v>
      </c>
      <c r="D107">
        <v>30</v>
      </c>
      <c r="E107">
        <v>30</v>
      </c>
      <c r="F107">
        <v>90</v>
      </c>
      <c r="H107">
        <v>17</v>
      </c>
      <c r="K107">
        <v>15</v>
      </c>
      <c r="L107">
        <v>20</v>
      </c>
      <c r="M107">
        <v>560</v>
      </c>
      <c r="W107">
        <v>23</v>
      </c>
      <c r="Z107" s="4">
        <v>5</v>
      </c>
      <c r="AA107">
        <v>395</v>
      </c>
      <c r="AH107">
        <f t="shared" si="5"/>
        <v>1185</v>
      </c>
      <c r="AI107" s="2" t="s">
        <v>16</v>
      </c>
    </row>
    <row r="108" spans="1:37" x14ac:dyDescent="0.3">
      <c r="A108" s="2" t="s">
        <v>18</v>
      </c>
      <c r="D108" s="4">
        <v>174</v>
      </c>
      <c r="E108" s="4">
        <v>524</v>
      </c>
      <c r="I108" s="4">
        <v>760</v>
      </c>
      <c r="L108" s="4">
        <v>222</v>
      </c>
      <c r="R108">
        <v>90</v>
      </c>
      <c r="X108" s="4">
        <v>248</v>
      </c>
      <c r="Z108">
        <v>1830</v>
      </c>
      <c r="AH108">
        <f t="shared" si="5"/>
        <v>3848</v>
      </c>
      <c r="AI108" s="2" t="s">
        <v>18</v>
      </c>
    </row>
    <row r="109" spans="1:37" x14ac:dyDescent="0.3">
      <c r="A109" s="2" t="s">
        <v>2</v>
      </c>
      <c r="B109">
        <v>34</v>
      </c>
      <c r="C109">
        <v>150</v>
      </c>
      <c r="F109">
        <v>130</v>
      </c>
      <c r="I109">
        <v>110</v>
      </c>
      <c r="L109">
        <v>200</v>
      </c>
      <c r="R109">
        <v>95</v>
      </c>
      <c r="W109">
        <v>266</v>
      </c>
      <c r="AA109">
        <v>360</v>
      </c>
      <c r="AH109">
        <f t="shared" si="5"/>
        <v>1345</v>
      </c>
      <c r="AI109" s="2" t="s">
        <v>2</v>
      </c>
    </row>
    <row r="110" spans="1:37" x14ac:dyDescent="0.3">
      <c r="A110" s="2" t="s">
        <v>19</v>
      </c>
      <c r="F110">
        <v>100</v>
      </c>
      <c r="K110" s="4">
        <v>48</v>
      </c>
      <c r="Q110">
        <v>30</v>
      </c>
      <c r="Y110">
        <v>20</v>
      </c>
      <c r="AA110" s="4">
        <v>36</v>
      </c>
      <c r="AE110">
        <v>30</v>
      </c>
      <c r="AH110">
        <f t="shared" si="5"/>
        <v>264</v>
      </c>
      <c r="AI110" s="2" t="s">
        <v>19</v>
      </c>
    </row>
    <row r="111" spans="1:37" x14ac:dyDescent="0.3">
      <c r="A111" s="2" t="s">
        <v>7</v>
      </c>
      <c r="G111">
        <v>30</v>
      </c>
      <c r="Q111">
        <v>20</v>
      </c>
      <c r="AC111">
        <v>30</v>
      </c>
      <c r="AH111">
        <f t="shared" si="5"/>
        <v>80</v>
      </c>
      <c r="AI111" s="2" t="s">
        <v>7</v>
      </c>
    </row>
    <row r="112" spans="1:37" x14ac:dyDescent="0.3">
      <c r="A112" s="2" t="s">
        <v>15</v>
      </c>
      <c r="H112">
        <v>220</v>
      </c>
      <c r="K112">
        <v>149</v>
      </c>
      <c r="L112">
        <v>125</v>
      </c>
      <c r="M112">
        <v>239</v>
      </c>
      <c r="N112">
        <v>293</v>
      </c>
      <c r="O112">
        <v>117</v>
      </c>
      <c r="AH112">
        <f t="shared" si="5"/>
        <v>1143</v>
      </c>
      <c r="AI112" s="2" t="s">
        <v>15</v>
      </c>
    </row>
    <row r="113" spans="1:37" x14ac:dyDescent="0.3">
      <c r="A113" s="2" t="s">
        <v>13</v>
      </c>
      <c r="H113">
        <v>200</v>
      </c>
      <c r="AH113">
        <f t="shared" si="5"/>
        <v>200</v>
      </c>
      <c r="AI113" s="2" t="s">
        <v>13</v>
      </c>
    </row>
    <row r="114" spans="1:37" x14ac:dyDescent="0.3">
      <c r="A114" s="2" t="s">
        <v>17</v>
      </c>
      <c r="B114">
        <v>1178</v>
      </c>
      <c r="M114">
        <v>380.28</v>
      </c>
      <c r="AH114">
        <f t="shared" si="5"/>
        <v>1558.28</v>
      </c>
      <c r="AI114" s="2" t="s">
        <v>17</v>
      </c>
    </row>
    <row r="115" spans="1:37" x14ac:dyDescent="0.3">
      <c r="A115" s="2" t="s">
        <v>20</v>
      </c>
      <c r="J115">
        <v>10</v>
      </c>
      <c r="L115">
        <v>10</v>
      </c>
      <c r="W115">
        <v>100</v>
      </c>
      <c r="AA115">
        <v>300</v>
      </c>
      <c r="AC115">
        <v>100</v>
      </c>
      <c r="AH115">
        <f t="shared" si="5"/>
        <v>520</v>
      </c>
      <c r="AI115" s="2" t="s">
        <v>20</v>
      </c>
    </row>
    <row r="116" spans="1:37" x14ac:dyDescent="0.3">
      <c r="A116" s="2" t="s">
        <v>12</v>
      </c>
      <c r="I116">
        <v>100</v>
      </c>
      <c r="L116">
        <v>50</v>
      </c>
      <c r="O116">
        <v>250</v>
      </c>
      <c r="P116">
        <v>600</v>
      </c>
      <c r="Q116">
        <v>280</v>
      </c>
      <c r="R116">
        <v>40</v>
      </c>
      <c r="U116">
        <v>60</v>
      </c>
      <c r="AA116">
        <v>70</v>
      </c>
      <c r="AD116">
        <v>10</v>
      </c>
      <c r="AH116">
        <f t="shared" si="5"/>
        <v>1460</v>
      </c>
      <c r="AI116" s="2" t="s">
        <v>12</v>
      </c>
    </row>
    <row r="117" spans="1:37" x14ac:dyDescent="0.3">
      <c r="A117" s="2" t="s">
        <v>23</v>
      </c>
      <c r="F117">
        <v>490</v>
      </c>
      <c r="T117">
        <v>710</v>
      </c>
      <c r="AH117">
        <f t="shared" si="5"/>
        <v>1200</v>
      </c>
      <c r="AI117" s="2" t="s">
        <v>23</v>
      </c>
    </row>
    <row r="118" spans="1:37" x14ac:dyDescent="0.3">
      <c r="A118" s="2" t="s">
        <v>4</v>
      </c>
      <c r="E118">
        <v>50</v>
      </c>
      <c r="G118">
        <v>10</v>
      </c>
      <c r="AA118">
        <v>180</v>
      </c>
      <c r="AH118">
        <f t="shared" si="5"/>
        <v>240</v>
      </c>
      <c r="AI118" s="2" t="s">
        <v>4</v>
      </c>
    </row>
    <row r="119" spans="1:37" x14ac:dyDescent="0.3">
      <c r="Q119" s="6">
        <f>SUM(B104:AE118)</f>
        <v>19277.28</v>
      </c>
      <c r="AK119">
        <f>SUM(AK102,Q119)</f>
        <v>196684.28</v>
      </c>
    </row>
    <row r="120" spans="1:37" x14ac:dyDescent="0.3">
      <c r="B120" s="1">
        <v>44743</v>
      </c>
      <c r="C120" s="1">
        <v>44744</v>
      </c>
      <c r="D120" s="1">
        <v>44745</v>
      </c>
      <c r="E120" s="1">
        <v>44746</v>
      </c>
      <c r="F120" s="1">
        <v>44747</v>
      </c>
      <c r="G120" s="1">
        <v>44748</v>
      </c>
      <c r="H120" s="1">
        <v>44749</v>
      </c>
      <c r="I120" s="1">
        <v>44750</v>
      </c>
      <c r="J120" s="1">
        <v>44751</v>
      </c>
      <c r="K120" s="1">
        <v>44752</v>
      </c>
      <c r="L120" s="1">
        <v>44753</v>
      </c>
      <c r="M120" s="1">
        <v>44754</v>
      </c>
      <c r="N120" s="1">
        <v>44755</v>
      </c>
      <c r="O120" s="1">
        <v>44756</v>
      </c>
      <c r="P120" s="1">
        <v>44757</v>
      </c>
      <c r="Q120" s="1">
        <v>44758</v>
      </c>
      <c r="R120" s="1">
        <v>44759</v>
      </c>
      <c r="S120" s="1">
        <v>44760</v>
      </c>
      <c r="T120" s="1">
        <v>44761</v>
      </c>
      <c r="U120" s="1">
        <v>44762</v>
      </c>
      <c r="V120" s="1">
        <v>44763</v>
      </c>
      <c r="W120" s="1">
        <v>44764</v>
      </c>
      <c r="X120" s="1">
        <v>44765</v>
      </c>
      <c r="Y120" s="1">
        <v>44766</v>
      </c>
      <c r="Z120" s="1">
        <v>44767</v>
      </c>
      <c r="AA120" s="1">
        <v>44768</v>
      </c>
      <c r="AB120" s="1">
        <v>44769</v>
      </c>
      <c r="AC120" s="1">
        <v>44770</v>
      </c>
      <c r="AD120" s="1">
        <v>44771</v>
      </c>
      <c r="AE120" s="1">
        <v>44772</v>
      </c>
      <c r="AF120" s="1">
        <v>44773</v>
      </c>
    </row>
    <row r="121" spans="1:37" x14ac:dyDescent="0.3">
      <c r="A121" s="2" t="s">
        <v>5</v>
      </c>
      <c r="B121">
        <v>0</v>
      </c>
      <c r="C121">
        <v>22</v>
      </c>
      <c r="D121">
        <v>22</v>
      </c>
      <c r="E121">
        <v>22</v>
      </c>
      <c r="F121">
        <v>22</v>
      </c>
      <c r="G121">
        <v>22</v>
      </c>
      <c r="H121">
        <v>22</v>
      </c>
      <c r="I121">
        <v>0</v>
      </c>
      <c r="J121">
        <v>0</v>
      </c>
      <c r="K121" s="4">
        <v>22</v>
      </c>
      <c r="L121" s="4">
        <v>22</v>
      </c>
      <c r="M121">
        <v>19</v>
      </c>
      <c r="N121">
        <v>0</v>
      </c>
      <c r="O121">
        <v>31</v>
      </c>
      <c r="P121">
        <v>10</v>
      </c>
      <c r="Q121">
        <v>22</v>
      </c>
      <c r="R121" s="4">
        <v>22</v>
      </c>
      <c r="S121">
        <v>0</v>
      </c>
      <c r="T121" s="4">
        <v>22</v>
      </c>
      <c r="U121" s="4">
        <v>22</v>
      </c>
      <c r="V121" s="4">
        <v>22</v>
      </c>
      <c r="W121" s="4">
        <v>22</v>
      </c>
      <c r="X121">
        <v>22</v>
      </c>
      <c r="Y121">
        <v>11</v>
      </c>
      <c r="Z121">
        <v>22</v>
      </c>
      <c r="AA121">
        <v>44</v>
      </c>
      <c r="AB121" s="4">
        <v>22</v>
      </c>
      <c r="AC121" s="4">
        <v>22</v>
      </c>
      <c r="AD121">
        <v>0</v>
      </c>
      <c r="AE121" s="4">
        <v>22</v>
      </c>
      <c r="AF121" s="4">
        <v>0</v>
      </c>
      <c r="AH121">
        <f>SUM(B121:AF121)</f>
        <v>533</v>
      </c>
      <c r="AI121" s="2" t="s">
        <v>5</v>
      </c>
    </row>
    <row r="122" spans="1:37" x14ac:dyDescent="0.3">
      <c r="A122" t="s">
        <v>14</v>
      </c>
      <c r="B122">
        <v>0</v>
      </c>
      <c r="D122">
        <v>5</v>
      </c>
      <c r="J122">
        <v>5</v>
      </c>
      <c r="R122">
        <v>5</v>
      </c>
      <c r="AE122">
        <v>5</v>
      </c>
      <c r="AF122">
        <v>0</v>
      </c>
      <c r="AH122">
        <f>SUM(B122:AF122)</f>
        <v>20</v>
      </c>
      <c r="AI122" t="s">
        <v>14</v>
      </c>
    </row>
    <row r="123" spans="1:37" x14ac:dyDescent="0.3">
      <c r="A123" s="2" t="s">
        <v>0</v>
      </c>
      <c r="B123">
        <v>202</v>
      </c>
      <c r="I123">
        <v>1000</v>
      </c>
      <c r="P123">
        <v>200</v>
      </c>
      <c r="R123">
        <v>100</v>
      </c>
      <c r="AD123">
        <v>1000</v>
      </c>
      <c r="AF123">
        <v>2000</v>
      </c>
      <c r="AH123">
        <f t="shared" ref="AH123:AH139" si="6">SUM(B123:AF123)</f>
        <v>4502</v>
      </c>
      <c r="AI123" s="2" t="s">
        <v>0</v>
      </c>
    </row>
    <row r="124" spans="1:37" x14ac:dyDescent="0.3">
      <c r="A124" s="2" t="s">
        <v>16</v>
      </c>
      <c r="C124">
        <v>44</v>
      </c>
      <c r="D124">
        <v>10</v>
      </c>
      <c r="G124">
        <v>30</v>
      </c>
      <c r="I124">
        <v>10</v>
      </c>
      <c r="J124">
        <v>370</v>
      </c>
      <c r="K124" s="4">
        <v>19</v>
      </c>
      <c r="L124">
        <v>25</v>
      </c>
      <c r="Q124" s="4">
        <v>67</v>
      </c>
      <c r="R124">
        <v>8</v>
      </c>
      <c r="Y124">
        <v>285</v>
      </c>
      <c r="AB124">
        <v>10</v>
      </c>
      <c r="AE124">
        <v>40</v>
      </c>
      <c r="AF124">
        <v>310</v>
      </c>
      <c r="AH124">
        <f t="shared" si="6"/>
        <v>1228</v>
      </c>
      <c r="AI124" s="2" t="s">
        <v>16</v>
      </c>
    </row>
    <row r="125" spans="1:37" x14ac:dyDescent="0.3">
      <c r="A125" s="2" t="s">
        <v>18</v>
      </c>
      <c r="C125" s="4">
        <v>34</v>
      </c>
      <c r="E125">
        <v>45</v>
      </c>
      <c r="G125" s="4">
        <v>146</v>
      </c>
      <c r="H125">
        <v>175</v>
      </c>
      <c r="I125" s="4">
        <v>1017</v>
      </c>
      <c r="K125" s="4">
        <v>115</v>
      </c>
      <c r="N125">
        <v>45</v>
      </c>
      <c r="R125">
        <v>10</v>
      </c>
      <c r="S125">
        <v>90</v>
      </c>
      <c r="T125" s="4">
        <v>120</v>
      </c>
      <c r="Z125" s="4">
        <v>338</v>
      </c>
      <c r="AA125">
        <v>2992</v>
      </c>
      <c r="AC125">
        <v>55</v>
      </c>
      <c r="AH125">
        <f t="shared" si="6"/>
        <v>5182</v>
      </c>
      <c r="AI125" s="2" t="s">
        <v>18</v>
      </c>
    </row>
    <row r="126" spans="1:37" x14ac:dyDescent="0.3">
      <c r="A126" s="2" t="s">
        <v>2</v>
      </c>
      <c r="C126">
        <v>108</v>
      </c>
      <c r="G126">
        <v>25</v>
      </c>
      <c r="K126">
        <v>160</v>
      </c>
      <c r="P126">
        <v>69</v>
      </c>
      <c r="R126">
        <v>50</v>
      </c>
      <c r="W126">
        <v>38</v>
      </c>
      <c r="Y126">
        <v>100</v>
      </c>
      <c r="AA126">
        <v>70</v>
      </c>
      <c r="AD126">
        <v>20</v>
      </c>
      <c r="AE126">
        <v>29</v>
      </c>
      <c r="AF126">
        <v>30</v>
      </c>
      <c r="AH126">
        <f t="shared" si="6"/>
        <v>699</v>
      </c>
      <c r="AI126" s="2" t="s">
        <v>2</v>
      </c>
    </row>
    <row r="127" spans="1:37" x14ac:dyDescent="0.3">
      <c r="A127" s="2" t="s">
        <v>19</v>
      </c>
      <c r="C127">
        <v>75</v>
      </c>
      <c r="D127">
        <v>30</v>
      </c>
      <c r="J127">
        <v>20</v>
      </c>
      <c r="O127">
        <v>30</v>
      </c>
      <c r="P127">
        <v>40</v>
      </c>
      <c r="R127">
        <v>45</v>
      </c>
      <c r="U127" s="4">
        <v>47</v>
      </c>
      <c r="W127">
        <v>30</v>
      </c>
      <c r="X127">
        <v>20</v>
      </c>
      <c r="Y127">
        <v>105</v>
      </c>
      <c r="Z127">
        <v>45</v>
      </c>
      <c r="AA127">
        <v>20</v>
      </c>
      <c r="AD127">
        <v>35</v>
      </c>
      <c r="AE127" s="4">
        <v>47</v>
      </c>
      <c r="AF127">
        <v>82</v>
      </c>
      <c r="AH127">
        <f t="shared" si="6"/>
        <v>671</v>
      </c>
      <c r="AI127" s="2" t="s">
        <v>19</v>
      </c>
    </row>
    <row r="128" spans="1:37" x14ac:dyDescent="0.3">
      <c r="A128" s="2" t="s">
        <v>7</v>
      </c>
      <c r="F128">
        <v>30</v>
      </c>
      <c r="K128">
        <v>30</v>
      </c>
      <c r="U128">
        <v>20</v>
      </c>
      <c r="AC128">
        <v>30</v>
      </c>
      <c r="AH128">
        <f t="shared" si="6"/>
        <v>110</v>
      </c>
      <c r="AI128" s="2" t="s">
        <v>7</v>
      </c>
    </row>
    <row r="129" spans="1:37" x14ac:dyDescent="0.3">
      <c r="A129" s="2" t="s">
        <v>15</v>
      </c>
      <c r="K129">
        <v>125</v>
      </c>
      <c r="L129">
        <v>322</v>
      </c>
      <c r="M129">
        <v>318</v>
      </c>
      <c r="N129">
        <v>284</v>
      </c>
      <c r="O129">
        <v>158</v>
      </c>
      <c r="AH129">
        <f t="shared" si="6"/>
        <v>1207</v>
      </c>
      <c r="AI129" s="2" t="s">
        <v>15</v>
      </c>
    </row>
    <row r="130" spans="1:37" x14ac:dyDescent="0.3">
      <c r="A130" s="2" t="s">
        <v>13</v>
      </c>
      <c r="K130">
        <v>200</v>
      </c>
      <c r="AH130">
        <f t="shared" si="6"/>
        <v>200</v>
      </c>
      <c r="AI130" s="2" t="s">
        <v>13</v>
      </c>
    </row>
    <row r="131" spans="1:37" x14ac:dyDescent="0.3">
      <c r="A131" s="2" t="s">
        <v>17</v>
      </c>
      <c r="M131">
        <v>1178</v>
      </c>
      <c r="AH131">
        <f t="shared" si="6"/>
        <v>1178</v>
      </c>
      <c r="AI131" s="2" t="s">
        <v>17</v>
      </c>
    </row>
    <row r="132" spans="1:37" x14ac:dyDescent="0.3">
      <c r="A132" s="2" t="s">
        <v>20</v>
      </c>
      <c r="C132">
        <v>12920</v>
      </c>
      <c r="K132" s="3"/>
      <c r="L132" s="3"/>
      <c r="M132">
        <v>30</v>
      </c>
      <c r="R132">
        <v>200</v>
      </c>
      <c r="S132">
        <v>420</v>
      </c>
      <c r="AH132">
        <f t="shared" si="6"/>
        <v>13570</v>
      </c>
      <c r="AI132" s="2" t="s">
        <v>20</v>
      </c>
    </row>
    <row r="133" spans="1:37" x14ac:dyDescent="0.3">
      <c r="A133" s="2" t="s">
        <v>12</v>
      </c>
      <c r="E133">
        <v>20</v>
      </c>
      <c r="M133" s="3"/>
      <c r="N133">
        <v>25</v>
      </c>
      <c r="R133">
        <v>200</v>
      </c>
      <c r="S133">
        <v>10</v>
      </c>
      <c r="V133">
        <v>14</v>
      </c>
      <c r="Z133">
        <v>250</v>
      </c>
      <c r="AC133">
        <v>600</v>
      </c>
      <c r="AD133">
        <v>50</v>
      </c>
      <c r="AH133">
        <f t="shared" si="6"/>
        <v>1169</v>
      </c>
      <c r="AI133" s="2" t="s">
        <v>12</v>
      </c>
    </row>
    <row r="134" spans="1:37" x14ac:dyDescent="0.3">
      <c r="A134" s="2" t="s">
        <v>8</v>
      </c>
      <c r="M134" s="3"/>
      <c r="O134" s="3"/>
      <c r="R134">
        <v>80</v>
      </c>
      <c r="W134">
        <v>5</v>
      </c>
      <c r="AH134">
        <f t="shared" si="6"/>
        <v>85</v>
      </c>
      <c r="AI134" s="2" t="s">
        <v>8</v>
      </c>
    </row>
    <row r="135" spans="1:37" x14ac:dyDescent="0.3">
      <c r="A135" s="2" t="s">
        <v>22</v>
      </c>
      <c r="M135" s="3"/>
      <c r="O135" s="3"/>
      <c r="AF135">
        <v>300</v>
      </c>
      <c r="AH135">
        <f t="shared" si="6"/>
        <v>300</v>
      </c>
      <c r="AI135" s="2" t="s">
        <v>23</v>
      </c>
    </row>
    <row r="136" spans="1:37" x14ac:dyDescent="0.3">
      <c r="A136" s="2" t="s">
        <v>11</v>
      </c>
      <c r="H136">
        <v>1070</v>
      </c>
      <c r="AH136">
        <f t="shared" si="6"/>
        <v>1070</v>
      </c>
      <c r="AI136" s="2" t="s">
        <v>11</v>
      </c>
    </row>
    <row r="137" spans="1:37" x14ac:dyDescent="0.3">
      <c r="A137" s="2" t="s">
        <v>30</v>
      </c>
      <c r="M137">
        <v>70</v>
      </c>
      <c r="AH137">
        <f t="shared" si="6"/>
        <v>70</v>
      </c>
      <c r="AI137" s="2" t="s">
        <v>30</v>
      </c>
    </row>
    <row r="138" spans="1:37" x14ac:dyDescent="0.3">
      <c r="A138" s="2" t="s">
        <v>33</v>
      </c>
      <c r="AE138">
        <v>165</v>
      </c>
      <c r="AH138">
        <f t="shared" si="6"/>
        <v>165</v>
      </c>
      <c r="AI138" s="2" t="s">
        <v>33</v>
      </c>
    </row>
    <row r="139" spans="1:37" x14ac:dyDescent="0.3">
      <c r="A139" s="2" t="s">
        <v>4</v>
      </c>
      <c r="E139">
        <v>20</v>
      </c>
      <c r="J139">
        <v>40</v>
      </c>
      <c r="R139">
        <v>160</v>
      </c>
      <c r="Y139">
        <v>80</v>
      </c>
      <c r="AH139">
        <f t="shared" si="6"/>
        <v>300</v>
      </c>
      <c r="AI139" s="2" t="s">
        <v>4</v>
      </c>
    </row>
    <row r="140" spans="1:37" x14ac:dyDescent="0.3">
      <c r="Q140" s="6">
        <f>SUM(B121:AF139)</f>
        <v>32259</v>
      </c>
      <c r="AK140">
        <f>SUM(Q140,AK119)</f>
        <v>228943.28</v>
      </c>
    </row>
    <row r="141" spans="1:37" x14ac:dyDescent="0.3">
      <c r="B141" s="1">
        <v>44774</v>
      </c>
      <c r="C141" s="1">
        <v>44775</v>
      </c>
      <c r="D141" s="1">
        <v>44776</v>
      </c>
      <c r="E141" s="1">
        <v>44777</v>
      </c>
      <c r="F141" s="1">
        <v>44778</v>
      </c>
      <c r="G141" s="1">
        <v>44779</v>
      </c>
      <c r="H141" s="1">
        <v>44780</v>
      </c>
      <c r="I141" s="1">
        <v>44781</v>
      </c>
      <c r="J141" s="1">
        <v>44782</v>
      </c>
      <c r="K141" s="1">
        <v>44783</v>
      </c>
      <c r="L141" s="1">
        <v>44784</v>
      </c>
      <c r="M141" s="1">
        <v>44785</v>
      </c>
      <c r="N141" s="1">
        <v>44786</v>
      </c>
      <c r="O141" s="1">
        <v>44787</v>
      </c>
      <c r="P141" s="1">
        <v>44788</v>
      </c>
      <c r="Q141" s="1">
        <v>44789</v>
      </c>
      <c r="R141" s="1">
        <v>44790</v>
      </c>
      <c r="S141" s="1">
        <v>44791</v>
      </c>
      <c r="T141" s="1">
        <v>44792</v>
      </c>
      <c r="U141" s="1">
        <v>44793</v>
      </c>
      <c r="V141" s="1">
        <v>44794</v>
      </c>
      <c r="W141" s="1">
        <v>44795</v>
      </c>
      <c r="X141" s="1">
        <v>44796</v>
      </c>
      <c r="Y141" s="1">
        <v>44797</v>
      </c>
      <c r="Z141" s="1">
        <v>44798</v>
      </c>
      <c r="AA141" s="1">
        <v>44799</v>
      </c>
      <c r="AB141" s="1">
        <v>44800</v>
      </c>
      <c r="AC141" s="1">
        <v>44801</v>
      </c>
      <c r="AD141" s="1">
        <v>44802</v>
      </c>
      <c r="AE141" s="1">
        <v>44803</v>
      </c>
      <c r="AF141" s="1">
        <v>44804</v>
      </c>
    </row>
    <row r="142" spans="1:37" x14ac:dyDescent="0.3">
      <c r="A142" s="2" t="s">
        <v>5</v>
      </c>
      <c r="B142" s="4">
        <v>22</v>
      </c>
      <c r="C142">
        <v>0</v>
      </c>
      <c r="D142" s="4">
        <v>22</v>
      </c>
      <c r="E142">
        <v>22</v>
      </c>
      <c r="F142" s="4">
        <v>22</v>
      </c>
      <c r="G142">
        <v>22</v>
      </c>
      <c r="H142" s="4">
        <v>0</v>
      </c>
      <c r="I142">
        <v>22</v>
      </c>
      <c r="J142" s="4">
        <v>0</v>
      </c>
      <c r="K142" s="4">
        <v>22</v>
      </c>
      <c r="L142">
        <v>22</v>
      </c>
      <c r="M142" s="4">
        <v>22</v>
      </c>
      <c r="N142">
        <v>22</v>
      </c>
      <c r="O142">
        <v>11</v>
      </c>
      <c r="P142" s="4">
        <v>22</v>
      </c>
      <c r="Q142">
        <v>0</v>
      </c>
      <c r="R142" s="4">
        <v>22</v>
      </c>
      <c r="S142" s="4">
        <v>22</v>
      </c>
      <c r="T142" s="4">
        <v>0</v>
      </c>
      <c r="U142" s="4">
        <v>22</v>
      </c>
      <c r="V142" s="4">
        <v>0</v>
      </c>
      <c r="W142" s="4">
        <v>22</v>
      </c>
      <c r="X142" s="4">
        <v>22</v>
      </c>
      <c r="Y142" s="4">
        <v>22</v>
      </c>
      <c r="Z142" s="4">
        <v>22</v>
      </c>
      <c r="AA142" s="4">
        <v>22</v>
      </c>
      <c r="AB142">
        <v>10</v>
      </c>
      <c r="AC142" s="4">
        <v>22</v>
      </c>
      <c r="AD142" s="4">
        <v>22</v>
      </c>
      <c r="AE142" s="4">
        <v>22</v>
      </c>
      <c r="AH142">
        <f>SUM(B142:AF142)</f>
        <v>505</v>
      </c>
      <c r="AI142" s="2" t="s">
        <v>5</v>
      </c>
    </row>
    <row r="143" spans="1:37" x14ac:dyDescent="0.3">
      <c r="A143" t="s">
        <v>14</v>
      </c>
      <c r="R143">
        <v>5</v>
      </c>
      <c r="S143">
        <v>5</v>
      </c>
      <c r="T143">
        <v>5</v>
      </c>
      <c r="U143">
        <v>5</v>
      </c>
      <c r="V143">
        <v>0</v>
      </c>
      <c r="AC143">
        <v>5</v>
      </c>
      <c r="AH143">
        <f>SUM(B143:AF143)</f>
        <v>25</v>
      </c>
      <c r="AI143" t="s">
        <v>14</v>
      </c>
    </row>
    <row r="144" spans="1:37" x14ac:dyDescent="0.3">
      <c r="A144" s="2" t="s">
        <v>0</v>
      </c>
      <c r="H144">
        <v>1500</v>
      </c>
      <c r="K144">
        <v>200</v>
      </c>
      <c r="V144">
        <v>2200</v>
      </c>
      <c r="W144">
        <v>202</v>
      </c>
      <c r="AF144">
        <v>200</v>
      </c>
      <c r="AH144">
        <f t="shared" ref="AH144:AH160" si="7">SUM(B144:AF144)</f>
        <v>4302</v>
      </c>
      <c r="AI144" s="2" t="s">
        <v>0</v>
      </c>
    </row>
    <row r="145" spans="1:35" x14ac:dyDescent="0.3">
      <c r="A145" s="2" t="s">
        <v>16</v>
      </c>
      <c r="B145">
        <v>30</v>
      </c>
      <c r="F145">
        <v>23</v>
      </c>
      <c r="G145">
        <v>30</v>
      </c>
      <c r="H145">
        <v>10</v>
      </c>
      <c r="J145">
        <v>30</v>
      </c>
      <c r="L145">
        <v>30</v>
      </c>
      <c r="M145">
        <v>9</v>
      </c>
      <c r="O145">
        <v>435</v>
      </c>
      <c r="S145">
        <v>10</v>
      </c>
      <c r="T145">
        <v>24</v>
      </c>
      <c r="V145">
        <v>200</v>
      </c>
      <c r="X145">
        <v>20</v>
      </c>
      <c r="Y145" s="4">
        <v>18</v>
      </c>
      <c r="Z145">
        <v>10</v>
      </c>
      <c r="AC145">
        <v>270</v>
      </c>
      <c r="AE145">
        <v>20</v>
      </c>
      <c r="AH145">
        <f t="shared" si="7"/>
        <v>1169</v>
      </c>
      <c r="AI145" s="2" t="s">
        <v>16</v>
      </c>
    </row>
    <row r="146" spans="1:35" x14ac:dyDescent="0.3">
      <c r="A146" s="2" t="s">
        <v>34</v>
      </c>
      <c r="D146" s="4">
        <v>160</v>
      </c>
      <c r="I146">
        <v>10</v>
      </c>
      <c r="J146" s="4">
        <v>419</v>
      </c>
      <c r="AH146">
        <f t="shared" si="7"/>
        <v>589</v>
      </c>
      <c r="AI146" s="2" t="s">
        <v>34</v>
      </c>
    </row>
    <row r="147" spans="1:35" x14ac:dyDescent="0.3">
      <c r="A147" s="2" t="s">
        <v>18</v>
      </c>
      <c r="B147" s="4">
        <v>20</v>
      </c>
      <c r="D147" s="4">
        <v>439</v>
      </c>
      <c r="H147">
        <v>45</v>
      </c>
      <c r="K147">
        <v>48</v>
      </c>
      <c r="L147">
        <v>90</v>
      </c>
      <c r="R147">
        <v>170</v>
      </c>
      <c r="Z147" s="4">
        <v>90</v>
      </c>
      <c r="AA147" s="4">
        <v>572</v>
      </c>
      <c r="AB147">
        <v>10</v>
      </c>
      <c r="AH147">
        <f t="shared" si="7"/>
        <v>1484</v>
      </c>
      <c r="AI147" s="2" t="s">
        <v>18</v>
      </c>
    </row>
    <row r="148" spans="1:35" x14ac:dyDescent="0.3">
      <c r="A148" s="2" t="s">
        <v>2</v>
      </c>
      <c r="D148">
        <v>70</v>
      </c>
      <c r="H148">
        <v>50</v>
      </c>
      <c r="K148">
        <v>80</v>
      </c>
      <c r="L148">
        <v>40</v>
      </c>
      <c r="R148">
        <v>30</v>
      </c>
      <c r="T148">
        <v>28</v>
      </c>
      <c r="U148">
        <v>35</v>
      </c>
      <c r="V148">
        <v>100</v>
      </c>
      <c r="Y148">
        <v>34</v>
      </c>
      <c r="Z148">
        <v>32</v>
      </c>
      <c r="AB148">
        <v>50</v>
      </c>
      <c r="AC148">
        <v>160</v>
      </c>
      <c r="AD148" s="4">
        <v>23</v>
      </c>
      <c r="AE148">
        <v>80</v>
      </c>
      <c r="AH148">
        <f t="shared" si="7"/>
        <v>812</v>
      </c>
      <c r="AI148" s="2" t="s">
        <v>2</v>
      </c>
    </row>
    <row r="149" spans="1:35" x14ac:dyDescent="0.3">
      <c r="A149" s="2" t="s">
        <v>19</v>
      </c>
      <c r="E149">
        <v>35</v>
      </c>
      <c r="H149">
        <v>93</v>
      </c>
      <c r="K149">
        <v>40</v>
      </c>
      <c r="L149">
        <v>20</v>
      </c>
      <c r="R149">
        <v>20</v>
      </c>
      <c r="S149">
        <v>20</v>
      </c>
      <c r="U149">
        <v>172</v>
      </c>
      <c r="V149" s="4">
        <v>82</v>
      </c>
      <c r="Z149">
        <v>20</v>
      </c>
      <c r="AB149">
        <v>10</v>
      </c>
      <c r="AC149" s="4">
        <v>45</v>
      </c>
      <c r="AE149">
        <v>50</v>
      </c>
      <c r="AH149">
        <f t="shared" si="7"/>
        <v>607</v>
      </c>
      <c r="AI149" s="2" t="s">
        <v>19</v>
      </c>
    </row>
    <row r="150" spans="1:35" x14ac:dyDescent="0.3">
      <c r="A150" s="2" t="s">
        <v>7</v>
      </c>
      <c r="D150">
        <v>40</v>
      </c>
      <c r="N150">
        <v>40</v>
      </c>
      <c r="R150">
        <v>30</v>
      </c>
      <c r="S150">
        <v>30</v>
      </c>
      <c r="W150">
        <v>30</v>
      </c>
      <c r="AA150">
        <v>40</v>
      </c>
      <c r="AC150">
        <v>80</v>
      </c>
      <c r="AF150">
        <v>50</v>
      </c>
      <c r="AH150">
        <f t="shared" si="7"/>
        <v>340</v>
      </c>
      <c r="AI150" s="2" t="s">
        <v>7</v>
      </c>
    </row>
    <row r="151" spans="1:35" x14ac:dyDescent="0.3">
      <c r="A151" s="2" t="s">
        <v>15</v>
      </c>
      <c r="K151">
        <v>275</v>
      </c>
      <c r="L151">
        <v>248</v>
      </c>
      <c r="M151">
        <v>172</v>
      </c>
      <c r="N151">
        <v>374</v>
      </c>
      <c r="O151">
        <v>337</v>
      </c>
      <c r="AH151">
        <f t="shared" si="7"/>
        <v>1406</v>
      </c>
      <c r="AI151" s="2" t="s">
        <v>15</v>
      </c>
    </row>
    <row r="152" spans="1:35" x14ac:dyDescent="0.3">
      <c r="A152" s="2" t="s">
        <v>13</v>
      </c>
      <c r="K152">
        <v>200</v>
      </c>
      <c r="AH152">
        <f t="shared" si="7"/>
        <v>200</v>
      </c>
      <c r="AI152" s="2" t="s">
        <v>13</v>
      </c>
    </row>
    <row r="153" spans="1:35" x14ac:dyDescent="0.3">
      <c r="A153" s="2" t="s">
        <v>17</v>
      </c>
      <c r="L153">
        <v>1178</v>
      </c>
      <c r="AH153">
        <f t="shared" si="7"/>
        <v>1178</v>
      </c>
      <c r="AI153" s="2" t="s">
        <v>17</v>
      </c>
    </row>
    <row r="154" spans="1:35" x14ac:dyDescent="0.3">
      <c r="A154" s="2" t="s">
        <v>10</v>
      </c>
      <c r="P154">
        <v>1000</v>
      </c>
      <c r="AH154">
        <f t="shared" si="7"/>
        <v>1000</v>
      </c>
      <c r="AI154" s="2" t="s">
        <v>10</v>
      </c>
    </row>
    <row r="155" spans="1:35" x14ac:dyDescent="0.3">
      <c r="A155" s="2" t="s">
        <v>20</v>
      </c>
      <c r="P155">
        <v>10</v>
      </c>
      <c r="R155">
        <v>150</v>
      </c>
      <c r="AH155">
        <f t="shared" si="7"/>
        <v>160</v>
      </c>
      <c r="AI155" s="2" t="s">
        <v>20</v>
      </c>
    </row>
    <row r="156" spans="1:35" x14ac:dyDescent="0.3">
      <c r="A156" s="2" t="s">
        <v>12</v>
      </c>
      <c r="H156">
        <v>32</v>
      </c>
      <c r="L156">
        <v>600</v>
      </c>
      <c r="R156">
        <v>250</v>
      </c>
      <c r="Z156">
        <v>8</v>
      </c>
      <c r="AE156">
        <v>580</v>
      </c>
      <c r="AH156">
        <f t="shared" si="7"/>
        <v>1470</v>
      </c>
      <c r="AI156" s="2" t="s">
        <v>12</v>
      </c>
    </row>
    <row r="157" spans="1:35" x14ac:dyDescent="0.3">
      <c r="A157" s="2" t="s">
        <v>8</v>
      </c>
      <c r="L157">
        <v>100</v>
      </c>
      <c r="AF157">
        <v>30</v>
      </c>
      <c r="AH157">
        <f t="shared" si="7"/>
        <v>130</v>
      </c>
      <c r="AI157" s="2" t="s">
        <v>8</v>
      </c>
    </row>
    <row r="158" spans="1:35" x14ac:dyDescent="0.3">
      <c r="A158" s="2" t="s">
        <v>21</v>
      </c>
      <c r="F158">
        <v>1631</v>
      </c>
      <c r="AE158">
        <v>30</v>
      </c>
      <c r="AH158">
        <f t="shared" si="7"/>
        <v>1661</v>
      </c>
      <c r="AI158" s="2" t="s">
        <v>21</v>
      </c>
    </row>
    <row r="159" spans="1:35" x14ac:dyDescent="0.3">
      <c r="A159" s="2" t="s">
        <v>23</v>
      </c>
      <c r="H159">
        <v>320</v>
      </c>
      <c r="V159">
        <v>240</v>
      </c>
      <c r="AH159">
        <f t="shared" si="7"/>
        <v>560</v>
      </c>
      <c r="AI159" s="2" t="s">
        <v>23</v>
      </c>
    </row>
    <row r="160" spans="1:35" x14ac:dyDescent="0.3">
      <c r="A160" s="2" t="s">
        <v>4</v>
      </c>
      <c r="C160">
        <v>50</v>
      </c>
      <c r="D160">
        <v>160</v>
      </c>
      <c r="I160">
        <v>50</v>
      </c>
      <c r="Q160">
        <v>30</v>
      </c>
      <c r="Z160">
        <v>50</v>
      </c>
      <c r="AA160">
        <v>10</v>
      </c>
      <c r="AE160">
        <v>50</v>
      </c>
      <c r="AH160">
        <f t="shared" si="7"/>
        <v>400</v>
      </c>
      <c r="AI160" s="2" t="s">
        <v>4</v>
      </c>
    </row>
    <row r="161" spans="1:37" x14ac:dyDescent="0.3">
      <c r="Q161" s="6">
        <f>SUM(B142:AF160)</f>
        <v>17998</v>
      </c>
      <c r="AK161">
        <f>SUM(AK140,Q161)</f>
        <v>246941.28</v>
      </c>
    </row>
    <row r="162" spans="1:37" x14ac:dyDescent="0.3">
      <c r="B162" s="1">
        <v>44805</v>
      </c>
      <c r="C162" s="1">
        <v>44806</v>
      </c>
      <c r="D162" s="1">
        <v>44807</v>
      </c>
      <c r="E162" s="1">
        <v>44808</v>
      </c>
      <c r="F162" s="1">
        <v>44809</v>
      </c>
      <c r="G162" s="1">
        <v>44810</v>
      </c>
      <c r="H162" s="1">
        <v>44811</v>
      </c>
      <c r="I162" s="1">
        <v>44812</v>
      </c>
      <c r="J162" s="1">
        <v>44813</v>
      </c>
      <c r="K162" s="1">
        <v>44814</v>
      </c>
      <c r="L162" s="1">
        <v>44815</v>
      </c>
      <c r="M162" s="1">
        <v>44816</v>
      </c>
      <c r="N162" s="1">
        <v>44817</v>
      </c>
      <c r="O162" s="1">
        <v>44818</v>
      </c>
      <c r="P162" s="1">
        <v>44819</v>
      </c>
      <c r="Q162" s="1">
        <v>44820</v>
      </c>
      <c r="R162" s="1">
        <v>44821</v>
      </c>
      <c r="S162" s="1">
        <v>44822</v>
      </c>
      <c r="T162" s="1">
        <v>44823</v>
      </c>
      <c r="U162" s="1">
        <v>44824</v>
      </c>
      <c r="V162" s="1">
        <v>44825</v>
      </c>
      <c r="W162" s="1">
        <v>44826</v>
      </c>
      <c r="X162" s="1">
        <v>44827</v>
      </c>
      <c r="Y162" s="1">
        <v>44828</v>
      </c>
      <c r="Z162" s="1">
        <v>44829</v>
      </c>
      <c r="AA162" s="1">
        <v>44830</v>
      </c>
      <c r="AB162" s="1">
        <v>44831</v>
      </c>
      <c r="AC162" s="1">
        <v>44832</v>
      </c>
      <c r="AD162" s="1">
        <v>44833</v>
      </c>
      <c r="AE162" s="1">
        <v>44834</v>
      </c>
    </row>
    <row r="163" spans="1:37" x14ac:dyDescent="0.3">
      <c r="A163" s="2" t="s">
        <v>5</v>
      </c>
      <c r="B163">
        <v>33</v>
      </c>
      <c r="C163">
        <v>33</v>
      </c>
      <c r="D163" s="4">
        <v>22</v>
      </c>
      <c r="E163" s="4">
        <v>22</v>
      </c>
      <c r="F163" s="4">
        <v>22</v>
      </c>
      <c r="G163" s="4">
        <v>22</v>
      </c>
      <c r="H163" s="4">
        <v>0</v>
      </c>
      <c r="I163" s="4">
        <v>22</v>
      </c>
      <c r="J163" s="4">
        <v>0</v>
      </c>
      <c r="K163">
        <v>22</v>
      </c>
      <c r="L163" s="4">
        <v>22</v>
      </c>
      <c r="M163" s="4">
        <v>22</v>
      </c>
      <c r="N163" s="4">
        <v>22</v>
      </c>
      <c r="O163" s="4">
        <v>0</v>
      </c>
      <c r="P163" s="4">
        <v>22</v>
      </c>
      <c r="Q163" s="4">
        <v>22</v>
      </c>
      <c r="R163" s="4">
        <v>22</v>
      </c>
      <c r="S163">
        <v>22</v>
      </c>
      <c r="T163" s="4">
        <v>0</v>
      </c>
      <c r="U163" s="4">
        <v>22</v>
      </c>
      <c r="V163" s="4">
        <v>22</v>
      </c>
      <c r="W163" s="4">
        <v>22</v>
      </c>
      <c r="X163">
        <v>22</v>
      </c>
      <c r="Y163" s="4">
        <v>0</v>
      </c>
      <c r="Z163" s="4">
        <v>0</v>
      </c>
      <c r="AA163" s="4">
        <v>22</v>
      </c>
      <c r="AB163">
        <v>23</v>
      </c>
      <c r="AC163" s="4">
        <v>22</v>
      </c>
      <c r="AD163" s="4">
        <v>22</v>
      </c>
      <c r="AE163" s="4">
        <v>22</v>
      </c>
      <c r="AH163">
        <f>SUM(B163:AE163)</f>
        <v>551</v>
      </c>
      <c r="AI163" s="2" t="s">
        <v>5</v>
      </c>
    </row>
    <row r="164" spans="1:37" x14ac:dyDescent="0.3">
      <c r="A164" t="s">
        <v>14</v>
      </c>
      <c r="D164">
        <v>5</v>
      </c>
      <c r="R164">
        <v>5</v>
      </c>
      <c r="Y164">
        <v>5</v>
      </c>
      <c r="AH164">
        <f>SUM(B164:AE164)</f>
        <v>15</v>
      </c>
      <c r="AI164" t="s">
        <v>14</v>
      </c>
    </row>
    <row r="165" spans="1:37" x14ac:dyDescent="0.3">
      <c r="A165" s="2" t="s">
        <v>0</v>
      </c>
      <c r="G165">
        <v>200</v>
      </c>
      <c r="R165">
        <v>200</v>
      </c>
      <c r="Y165">
        <v>1000</v>
      </c>
      <c r="Z165">
        <v>1500</v>
      </c>
      <c r="AB165">
        <v>150</v>
      </c>
      <c r="AH165">
        <f t="shared" ref="AH165:AH181" si="8">SUM(B165:AE165)</f>
        <v>3050</v>
      </c>
      <c r="AI165" s="2" t="s">
        <v>0</v>
      </c>
    </row>
    <row r="166" spans="1:37" x14ac:dyDescent="0.3">
      <c r="A166" s="2" t="s">
        <v>16</v>
      </c>
      <c r="G166">
        <v>80</v>
      </c>
      <c r="I166">
        <v>63</v>
      </c>
      <c r="K166">
        <v>66</v>
      </c>
      <c r="L166">
        <v>460</v>
      </c>
      <c r="N166">
        <v>54</v>
      </c>
      <c r="S166">
        <v>50</v>
      </c>
      <c r="U166">
        <v>20</v>
      </c>
      <c r="Z166">
        <v>50</v>
      </c>
      <c r="AA166">
        <v>10</v>
      </c>
      <c r="AB166">
        <v>50</v>
      </c>
      <c r="AH166">
        <f t="shared" si="8"/>
        <v>903</v>
      </c>
      <c r="AI166" s="2" t="s">
        <v>16</v>
      </c>
    </row>
    <row r="167" spans="1:37" x14ac:dyDescent="0.3">
      <c r="A167" s="2" t="s">
        <v>34</v>
      </c>
      <c r="F167" s="4">
        <v>20</v>
      </c>
      <c r="K167">
        <v>190</v>
      </c>
      <c r="V167" s="4">
        <v>280</v>
      </c>
      <c r="AC167">
        <v>300</v>
      </c>
      <c r="AD167" s="4">
        <v>51</v>
      </c>
      <c r="AH167">
        <f t="shared" si="8"/>
        <v>841</v>
      </c>
      <c r="AI167" s="2" t="s">
        <v>34</v>
      </c>
    </row>
    <row r="168" spans="1:37" x14ac:dyDescent="0.3">
      <c r="A168" s="2" t="s">
        <v>18</v>
      </c>
      <c r="D168" s="4">
        <v>103</v>
      </c>
      <c r="F168" s="4">
        <v>87</v>
      </c>
      <c r="J168">
        <v>910</v>
      </c>
      <c r="K168" s="4">
        <v>1310</v>
      </c>
      <c r="L168">
        <v>40</v>
      </c>
      <c r="M168">
        <v>98</v>
      </c>
      <c r="Q168" s="4">
        <v>85</v>
      </c>
      <c r="X168" s="4">
        <v>180</v>
      </c>
      <c r="AB168">
        <v>1025</v>
      </c>
      <c r="AD168">
        <v>575</v>
      </c>
      <c r="AH168">
        <f t="shared" si="8"/>
        <v>4413</v>
      </c>
      <c r="AI168" s="2" t="s">
        <v>18</v>
      </c>
    </row>
    <row r="169" spans="1:37" x14ac:dyDescent="0.3">
      <c r="A169" s="2" t="s">
        <v>2</v>
      </c>
      <c r="C169">
        <v>26</v>
      </c>
      <c r="D169">
        <v>70</v>
      </c>
      <c r="G169">
        <v>25</v>
      </c>
      <c r="I169">
        <v>86</v>
      </c>
      <c r="L169">
        <v>112</v>
      </c>
      <c r="M169">
        <v>19</v>
      </c>
      <c r="Q169">
        <v>43</v>
      </c>
      <c r="S169">
        <v>160</v>
      </c>
      <c r="U169">
        <v>12</v>
      </c>
      <c r="W169">
        <v>45</v>
      </c>
      <c r="Y169">
        <v>60</v>
      </c>
      <c r="Z169">
        <v>30</v>
      </c>
      <c r="AA169">
        <v>36</v>
      </c>
      <c r="AD169">
        <v>21</v>
      </c>
      <c r="AH169">
        <f t="shared" si="8"/>
        <v>745</v>
      </c>
      <c r="AI169" s="2" t="s">
        <v>2</v>
      </c>
    </row>
    <row r="170" spans="1:37" x14ac:dyDescent="0.3">
      <c r="A170" s="2" t="s">
        <v>19</v>
      </c>
      <c r="H170">
        <v>130</v>
      </c>
      <c r="I170" s="4">
        <v>35</v>
      </c>
      <c r="J170">
        <v>30</v>
      </c>
      <c r="M170">
        <v>25</v>
      </c>
      <c r="P170">
        <v>40</v>
      </c>
      <c r="U170">
        <v>20</v>
      </c>
      <c r="W170" s="4">
        <v>30</v>
      </c>
      <c r="Z170" s="4">
        <v>136</v>
      </c>
      <c r="AA170">
        <v>40</v>
      </c>
      <c r="AB170">
        <v>20</v>
      </c>
      <c r="AD170">
        <v>25</v>
      </c>
      <c r="AH170">
        <f t="shared" si="8"/>
        <v>531</v>
      </c>
      <c r="AI170" s="2" t="s">
        <v>19</v>
      </c>
    </row>
    <row r="171" spans="1:37" x14ac:dyDescent="0.3">
      <c r="A171" s="2" t="s">
        <v>7</v>
      </c>
      <c r="G171">
        <v>30</v>
      </c>
      <c r="M171">
        <v>20</v>
      </c>
      <c r="R171">
        <v>30</v>
      </c>
      <c r="S171">
        <v>60</v>
      </c>
      <c r="AH171">
        <f t="shared" si="8"/>
        <v>140</v>
      </c>
      <c r="AI171" s="2" t="s">
        <v>7</v>
      </c>
    </row>
    <row r="172" spans="1:37" x14ac:dyDescent="0.3">
      <c r="A172" s="2" t="s">
        <v>15</v>
      </c>
      <c r="K172">
        <v>172</v>
      </c>
      <c r="L172">
        <v>342</v>
      </c>
      <c r="M172">
        <v>342</v>
      </c>
      <c r="N172">
        <v>280</v>
      </c>
      <c r="O172">
        <v>158</v>
      </c>
      <c r="AH172">
        <f t="shared" si="8"/>
        <v>1294</v>
      </c>
      <c r="AI172" s="2" t="s">
        <v>15</v>
      </c>
    </row>
    <row r="173" spans="1:37" x14ac:dyDescent="0.3">
      <c r="A173" s="2" t="s">
        <v>13</v>
      </c>
      <c r="L173">
        <v>200</v>
      </c>
      <c r="AH173">
        <f t="shared" si="8"/>
        <v>200</v>
      </c>
      <c r="AI173" s="2" t="s">
        <v>13</v>
      </c>
    </row>
    <row r="174" spans="1:37" x14ac:dyDescent="0.3">
      <c r="A174" s="2" t="s">
        <v>17</v>
      </c>
      <c r="R174">
        <v>1178</v>
      </c>
      <c r="AH174">
        <f t="shared" si="8"/>
        <v>1178</v>
      </c>
      <c r="AI174" s="2" t="s">
        <v>17</v>
      </c>
    </row>
    <row r="175" spans="1:37" x14ac:dyDescent="0.3">
      <c r="A175" s="2" t="s">
        <v>10</v>
      </c>
      <c r="D175">
        <v>550</v>
      </c>
      <c r="AH175">
        <f t="shared" si="8"/>
        <v>550</v>
      </c>
      <c r="AI175" s="2" t="s">
        <v>10</v>
      </c>
    </row>
    <row r="176" spans="1:37" x14ac:dyDescent="0.3">
      <c r="A176" s="2" t="s">
        <v>20</v>
      </c>
      <c r="M176">
        <v>10</v>
      </c>
      <c r="S176">
        <v>80</v>
      </c>
      <c r="Y176">
        <v>20</v>
      </c>
      <c r="AH176">
        <f t="shared" si="8"/>
        <v>110</v>
      </c>
      <c r="AI176" s="2" t="s">
        <v>20</v>
      </c>
    </row>
    <row r="177" spans="1:37" x14ac:dyDescent="0.3">
      <c r="A177" s="2" t="s">
        <v>12</v>
      </c>
      <c r="B177">
        <v>4</v>
      </c>
      <c r="C177">
        <v>4</v>
      </c>
      <c r="E177">
        <v>470</v>
      </c>
      <c r="M177">
        <v>45</v>
      </c>
      <c r="S177">
        <v>140</v>
      </c>
      <c r="X177">
        <v>37</v>
      </c>
      <c r="Y177">
        <v>25</v>
      </c>
      <c r="AD177">
        <v>250</v>
      </c>
      <c r="AH177">
        <f t="shared" si="8"/>
        <v>975</v>
      </c>
      <c r="AI177" s="2" t="s">
        <v>12</v>
      </c>
    </row>
    <row r="178" spans="1:37" x14ac:dyDescent="0.3">
      <c r="A178" s="2" t="s">
        <v>11</v>
      </c>
      <c r="N178" s="4"/>
      <c r="U178">
        <v>1070</v>
      </c>
      <c r="AH178">
        <f t="shared" si="8"/>
        <v>1070</v>
      </c>
      <c r="AI178" s="2" t="s">
        <v>8</v>
      </c>
    </row>
    <row r="179" spans="1:37" x14ac:dyDescent="0.3">
      <c r="A179" s="2" t="s">
        <v>30</v>
      </c>
      <c r="Z179">
        <v>80</v>
      </c>
      <c r="AD179">
        <v>40</v>
      </c>
      <c r="AH179">
        <f t="shared" si="8"/>
        <v>120</v>
      </c>
      <c r="AI179" s="2" t="s">
        <v>30</v>
      </c>
    </row>
    <row r="180" spans="1:37" x14ac:dyDescent="0.3">
      <c r="A180" s="2" t="s">
        <v>23</v>
      </c>
      <c r="Z180">
        <v>715</v>
      </c>
      <c r="AH180">
        <f t="shared" si="8"/>
        <v>715</v>
      </c>
      <c r="AI180" s="2" t="s">
        <v>23</v>
      </c>
    </row>
    <row r="181" spans="1:37" x14ac:dyDescent="0.3">
      <c r="A181" s="2" t="s">
        <v>4</v>
      </c>
      <c r="F181">
        <v>50</v>
      </c>
      <c r="AH181">
        <f t="shared" si="8"/>
        <v>50</v>
      </c>
      <c r="AI181" s="2" t="s">
        <v>4</v>
      </c>
    </row>
    <row r="182" spans="1:37" x14ac:dyDescent="0.3">
      <c r="Q182" s="6">
        <f>SUM(B163:AE181)</f>
        <v>17451</v>
      </c>
      <c r="AK182">
        <f>SUM(AK161,Q182)</f>
        <v>264392.28000000003</v>
      </c>
    </row>
    <row r="183" spans="1:37" x14ac:dyDescent="0.3">
      <c r="B183" s="1">
        <v>44835</v>
      </c>
      <c r="C183" s="1">
        <v>44836</v>
      </c>
      <c r="D183" s="1">
        <v>44837</v>
      </c>
      <c r="E183" s="1">
        <v>44838</v>
      </c>
      <c r="F183" s="1">
        <v>44839</v>
      </c>
      <c r="G183" s="1">
        <v>44840</v>
      </c>
      <c r="H183" s="1">
        <v>44841</v>
      </c>
      <c r="I183" s="1">
        <v>44842</v>
      </c>
      <c r="J183" s="1">
        <v>44843</v>
      </c>
      <c r="K183" s="1">
        <v>44844</v>
      </c>
      <c r="L183" s="1">
        <v>44845</v>
      </c>
      <c r="M183" s="1">
        <v>44846</v>
      </c>
      <c r="N183" s="1">
        <v>44847</v>
      </c>
      <c r="O183" s="1">
        <v>44848</v>
      </c>
      <c r="P183" s="1">
        <v>44849</v>
      </c>
      <c r="Q183" s="1">
        <v>44850</v>
      </c>
      <c r="R183" s="1">
        <v>44851</v>
      </c>
      <c r="S183" s="1">
        <v>44852</v>
      </c>
      <c r="T183" s="1">
        <v>44853</v>
      </c>
      <c r="U183" s="1">
        <v>44854</v>
      </c>
      <c r="V183" s="1">
        <v>44855</v>
      </c>
      <c r="W183" s="1">
        <v>44856</v>
      </c>
      <c r="X183" s="1">
        <v>44857</v>
      </c>
      <c r="Y183" s="1">
        <v>44858</v>
      </c>
      <c r="Z183" s="1">
        <v>44859</v>
      </c>
      <c r="AA183" s="1">
        <v>44860</v>
      </c>
      <c r="AB183" s="1">
        <v>44861</v>
      </c>
      <c r="AC183" s="1">
        <v>44862</v>
      </c>
      <c r="AD183" s="1">
        <v>44863</v>
      </c>
      <c r="AE183" s="1">
        <v>44864</v>
      </c>
      <c r="AF183" s="1">
        <v>44865</v>
      </c>
    </row>
    <row r="184" spans="1:37" x14ac:dyDescent="0.3">
      <c r="A184" s="2" t="s">
        <v>5</v>
      </c>
      <c r="B184" s="4">
        <v>22</v>
      </c>
      <c r="C184" s="4">
        <v>22</v>
      </c>
      <c r="D184">
        <v>22</v>
      </c>
      <c r="E184">
        <v>22</v>
      </c>
      <c r="F184" s="4">
        <v>22</v>
      </c>
      <c r="G184">
        <v>22</v>
      </c>
      <c r="H184">
        <v>23</v>
      </c>
      <c r="I184" s="4">
        <v>22</v>
      </c>
      <c r="J184">
        <v>22</v>
      </c>
      <c r="K184" s="4">
        <v>22</v>
      </c>
      <c r="L184">
        <v>22</v>
      </c>
      <c r="M184" s="4">
        <v>0</v>
      </c>
      <c r="N184">
        <v>33</v>
      </c>
      <c r="O184">
        <v>22</v>
      </c>
      <c r="P184" s="4">
        <v>22</v>
      </c>
      <c r="Q184">
        <v>0</v>
      </c>
      <c r="R184">
        <v>33</v>
      </c>
      <c r="S184">
        <v>22</v>
      </c>
      <c r="T184" s="4">
        <v>22</v>
      </c>
      <c r="U184">
        <v>22</v>
      </c>
      <c r="V184">
        <v>22</v>
      </c>
      <c r="W184" s="4">
        <v>22</v>
      </c>
      <c r="X184" s="4">
        <v>22</v>
      </c>
      <c r="Y184">
        <v>33</v>
      </c>
      <c r="Z184">
        <v>0</v>
      </c>
      <c r="AA184" s="4">
        <v>22</v>
      </c>
      <c r="AB184">
        <v>48</v>
      </c>
      <c r="AC184">
        <v>0</v>
      </c>
      <c r="AD184">
        <v>22</v>
      </c>
      <c r="AE184" s="4">
        <v>22</v>
      </c>
      <c r="AF184" s="4">
        <v>22</v>
      </c>
      <c r="AH184">
        <f>SUM(B184:AF184)</f>
        <v>654</v>
      </c>
      <c r="AI184" s="2" t="s">
        <v>5</v>
      </c>
    </row>
    <row r="185" spans="1:37" x14ac:dyDescent="0.3">
      <c r="A185" t="s">
        <v>14</v>
      </c>
      <c r="B185">
        <v>5</v>
      </c>
      <c r="I185">
        <v>5</v>
      </c>
      <c r="K185" t="s">
        <v>35</v>
      </c>
      <c r="N185">
        <v>0</v>
      </c>
      <c r="P185">
        <v>5</v>
      </c>
      <c r="W185">
        <v>5</v>
      </c>
      <c r="AD185">
        <v>5</v>
      </c>
      <c r="AH185">
        <f>SUM(B185:AF185)</f>
        <v>25</v>
      </c>
      <c r="AI185" t="s">
        <v>14</v>
      </c>
    </row>
    <row r="186" spans="1:37" x14ac:dyDescent="0.3">
      <c r="A186" s="2" t="s">
        <v>0</v>
      </c>
      <c r="K186">
        <v>202</v>
      </c>
      <c r="P186" s="5">
        <v>202</v>
      </c>
      <c r="Q186">
        <v>1000</v>
      </c>
      <c r="Z186" s="5">
        <v>200</v>
      </c>
      <c r="AD186">
        <v>500</v>
      </c>
      <c r="AH186">
        <f t="shared" ref="AH186:AH200" si="9">SUM(B186:AF186)</f>
        <v>2104</v>
      </c>
      <c r="AI186" s="2" t="s">
        <v>0</v>
      </c>
    </row>
    <row r="187" spans="1:37" x14ac:dyDescent="0.3">
      <c r="A187" s="2" t="s">
        <v>16</v>
      </c>
      <c r="B187">
        <v>34</v>
      </c>
      <c r="C187">
        <f>20+50+20+30+30+50+35</f>
        <v>235</v>
      </c>
      <c r="D187">
        <f>40+30+33</f>
        <v>103</v>
      </c>
      <c r="F187">
        <v>70</v>
      </c>
      <c r="H187" s="4">
        <v>10</v>
      </c>
      <c r="I187">
        <v>20</v>
      </c>
      <c r="O187">
        <v>25</v>
      </c>
      <c r="Q187">
        <v>100</v>
      </c>
      <c r="S187">
        <v>82</v>
      </c>
      <c r="T187" s="4">
        <v>5</v>
      </c>
      <c r="V187">
        <v>500</v>
      </c>
      <c r="AD187">
        <v>10</v>
      </c>
      <c r="AE187">
        <v>10</v>
      </c>
      <c r="AH187">
        <f t="shared" si="9"/>
        <v>1204</v>
      </c>
      <c r="AI187" s="2" t="s">
        <v>16</v>
      </c>
    </row>
    <row r="188" spans="1:37" x14ac:dyDescent="0.3">
      <c r="A188" s="2" t="s">
        <v>34</v>
      </c>
      <c r="N188">
        <v>4</v>
      </c>
      <c r="AH188">
        <f t="shared" si="9"/>
        <v>4</v>
      </c>
      <c r="AI188" s="2" t="s">
        <v>34</v>
      </c>
    </row>
    <row r="189" spans="1:37" x14ac:dyDescent="0.3">
      <c r="A189" s="2" t="s">
        <v>18</v>
      </c>
      <c r="B189">
        <v>180</v>
      </c>
      <c r="K189">
        <v>50</v>
      </c>
      <c r="N189">
        <v>88</v>
      </c>
      <c r="V189">
        <v>20</v>
      </c>
      <c r="W189">
        <v>76</v>
      </c>
      <c r="X189" s="4">
        <v>818</v>
      </c>
      <c r="Z189" s="4">
        <v>404</v>
      </c>
      <c r="AA189" s="4">
        <v>48</v>
      </c>
      <c r="AE189" s="4">
        <v>300</v>
      </c>
      <c r="AF189" s="4">
        <v>13</v>
      </c>
      <c r="AH189">
        <f t="shared" si="9"/>
        <v>1997</v>
      </c>
      <c r="AI189" s="2" t="s">
        <v>18</v>
      </c>
    </row>
    <row r="190" spans="1:37" x14ac:dyDescent="0.3">
      <c r="A190" s="2" t="s">
        <v>2</v>
      </c>
      <c r="B190">
        <v>40</v>
      </c>
      <c r="C190">
        <v>210</v>
      </c>
      <c r="D190">
        <v>60</v>
      </c>
      <c r="K190">
        <v>25</v>
      </c>
      <c r="O190">
        <v>18</v>
      </c>
      <c r="P190">
        <v>140</v>
      </c>
      <c r="S190">
        <v>30</v>
      </c>
      <c r="U190">
        <v>16</v>
      </c>
      <c r="V190">
        <v>98</v>
      </c>
      <c r="AA190">
        <v>70</v>
      </c>
      <c r="AD190">
        <v>70</v>
      </c>
      <c r="AE190">
        <v>40</v>
      </c>
      <c r="AH190">
        <f t="shared" si="9"/>
        <v>817</v>
      </c>
      <c r="AI190" s="2" t="s">
        <v>2</v>
      </c>
    </row>
    <row r="191" spans="1:37" x14ac:dyDescent="0.3">
      <c r="A191" s="2" t="s">
        <v>19</v>
      </c>
      <c r="B191" s="4">
        <v>47</v>
      </c>
      <c r="F191">
        <v>200</v>
      </c>
      <c r="H191">
        <v>15</v>
      </c>
      <c r="I191">
        <v>30</v>
      </c>
      <c r="J191">
        <v>25</v>
      </c>
      <c r="Q191">
        <v>90</v>
      </c>
      <c r="AE191">
        <v>25</v>
      </c>
      <c r="AF191" s="4">
        <v>99</v>
      </c>
      <c r="AH191">
        <f t="shared" si="9"/>
        <v>531</v>
      </c>
      <c r="AI191" s="2" t="s">
        <v>19</v>
      </c>
    </row>
    <row r="192" spans="1:37" x14ac:dyDescent="0.3">
      <c r="A192" s="2" t="s">
        <v>7</v>
      </c>
      <c r="C192">
        <v>250</v>
      </c>
      <c r="J192">
        <v>30</v>
      </c>
      <c r="U192">
        <v>30</v>
      </c>
      <c r="AC192">
        <v>50</v>
      </c>
      <c r="AH192">
        <f t="shared" si="9"/>
        <v>360</v>
      </c>
      <c r="AI192" s="2" t="s">
        <v>7</v>
      </c>
    </row>
    <row r="193" spans="1:37" x14ac:dyDescent="0.3">
      <c r="A193" s="2" t="s">
        <v>15</v>
      </c>
      <c r="K193">
        <v>174</v>
      </c>
      <c r="L193">
        <v>358</v>
      </c>
      <c r="M193">
        <v>353</v>
      </c>
      <c r="N193">
        <v>286</v>
      </c>
      <c r="O193">
        <v>163</v>
      </c>
      <c r="AH193">
        <f t="shared" si="9"/>
        <v>1334</v>
      </c>
      <c r="AI193" s="2" t="s">
        <v>15</v>
      </c>
    </row>
    <row r="194" spans="1:37" x14ac:dyDescent="0.3">
      <c r="A194" s="2" t="s">
        <v>13</v>
      </c>
      <c r="K194">
        <v>200</v>
      </c>
      <c r="AH194">
        <f t="shared" si="9"/>
        <v>200</v>
      </c>
      <c r="AI194" s="2" t="s">
        <v>13</v>
      </c>
    </row>
    <row r="195" spans="1:37" x14ac:dyDescent="0.3">
      <c r="A195" s="2" t="s">
        <v>17</v>
      </c>
      <c r="J195">
        <v>107</v>
      </c>
      <c r="R195">
        <v>1178</v>
      </c>
      <c r="AH195">
        <f t="shared" si="9"/>
        <v>1285</v>
      </c>
      <c r="AI195" s="2" t="s">
        <v>17</v>
      </c>
    </row>
    <row r="196" spans="1:37" x14ac:dyDescent="0.3">
      <c r="A196" s="2" t="s">
        <v>6</v>
      </c>
      <c r="O196">
        <v>30</v>
      </c>
      <c r="Q196">
        <v>80</v>
      </c>
      <c r="AH196">
        <f t="shared" si="9"/>
        <v>110</v>
      </c>
      <c r="AI196" s="2" t="s">
        <v>6</v>
      </c>
    </row>
    <row r="197" spans="1:37" x14ac:dyDescent="0.3">
      <c r="A197" s="2" t="s">
        <v>20</v>
      </c>
      <c r="R197">
        <v>3411</v>
      </c>
      <c r="X197">
        <v>140</v>
      </c>
      <c r="AH197">
        <f t="shared" si="9"/>
        <v>3551</v>
      </c>
      <c r="AI197" s="2" t="s">
        <v>20</v>
      </c>
    </row>
    <row r="198" spans="1:37" x14ac:dyDescent="0.3">
      <c r="A198" s="2" t="s">
        <v>8</v>
      </c>
      <c r="L198">
        <v>30</v>
      </c>
      <c r="AH198">
        <f t="shared" si="9"/>
        <v>30</v>
      </c>
      <c r="AI198" s="2" t="s">
        <v>8</v>
      </c>
    </row>
    <row r="199" spans="1:37" x14ac:dyDescent="0.3">
      <c r="A199" s="2" t="s">
        <v>12</v>
      </c>
      <c r="B199">
        <v>300</v>
      </c>
      <c r="C199">
        <v>137</v>
      </c>
      <c r="E199">
        <v>20</v>
      </c>
      <c r="G199">
        <v>1411</v>
      </c>
      <c r="K199">
        <v>1200</v>
      </c>
      <c r="L199" s="3"/>
      <c r="R199">
        <v>250</v>
      </c>
      <c r="U199">
        <v>50</v>
      </c>
      <c r="X199">
        <v>1840</v>
      </c>
      <c r="Z199">
        <v>1000</v>
      </c>
      <c r="AC199">
        <v>27608</v>
      </c>
      <c r="AE199">
        <v>30</v>
      </c>
      <c r="AF199">
        <v>22</v>
      </c>
      <c r="AH199">
        <f t="shared" si="9"/>
        <v>33868</v>
      </c>
      <c r="AI199" s="2" t="s">
        <v>12</v>
      </c>
    </row>
    <row r="200" spans="1:37" x14ac:dyDescent="0.3">
      <c r="A200" s="2" t="s">
        <v>4</v>
      </c>
      <c r="D200">
        <v>10</v>
      </c>
      <c r="H200">
        <v>40</v>
      </c>
      <c r="AB200">
        <v>10</v>
      </c>
      <c r="AD200">
        <v>640</v>
      </c>
      <c r="AH200">
        <f t="shared" si="9"/>
        <v>700</v>
      </c>
      <c r="AI200" s="2" t="s">
        <v>4</v>
      </c>
    </row>
    <row r="201" spans="1:37" x14ac:dyDescent="0.3">
      <c r="Q201" s="6">
        <f>SUM(B184:AF200)</f>
        <v>48774</v>
      </c>
      <c r="AK201">
        <f>SUM(AK182,Q201)</f>
        <v>313166.28000000003</v>
      </c>
    </row>
    <row r="202" spans="1:37" x14ac:dyDescent="0.3">
      <c r="B202" s="1">
        <v>44866</v>
      </c>
      <c r="C202" s="1">
        <v>44867</v>
      </c>
      <c r="D202" s="1">
        <v>44868</v>
      </c>
      <c r="E202" s="1">
        <v>44869</v>
      </c>
      <c r="F202" s="1">
        <v>44870</v>
      </c>
      <c r="G202" s="1">
        <v>44871</v>
      </c>
      <c r="H202" s="1">
        <v>44872</v>
      </c>
      <c r="I202" s="1">
        <v>44873</v>
      </c>
      <c r="J202" s="1">
        <v>44874</v>
      </c>
      <c r="K202" s="1">
        <v>44875</v>
      </c>
      <c r="L202" s="1">
        <v>44876</v>
      </c>
      <c r="M202" s="1">
        <v>44877</v>
      </c>
      <c r="N202" s="1">
        <v>44878</v>
      </c>
      <c r="O202" s="1">
        <v>44879</v>
      </c>
      <c r="P202" s="1">
        <v>44880</v>
      </c>
      <c r="Q202" s="1">
        <v>44881</v>
      </c>
      <c r="R202" s="1">
        <v>44882</v>
      </c>
      <c r="S202" s="1">
        <v>44883</v>
      </c>
      <c r="T202" s="1">
        <v>44884</v>
      </c>
      <c r="U202" s="1">
        <v>44885</v>
      </c>
      <c r="V202" s="1">
        <v>44886</v>
      </c>
      <c r="W202" s="1">
        <v>44887</v>
      </c>
      <c r="X202" s="1">
        <v>44888</v>
      </c>
      <c r="Y202" s="1">
        <v>44889</v>
      </c>
      <c r="Z202" s="1">
        <v>44890</v>
      </c>
      <c r="AA202" s="1">
        <v>44891</v>
      </c>
      <c r="AB202" s="1">
        <v>44892</v>
      </c>
      <c r="AC202" s="1">
        <v>44893</v>
      </c>
      <c r="AD202" s="1">
        <v>44894</v>
      </c>
      <c r="AE202" s="1">
        <v>44895</v>
      </c>
    </row>
    <row r="203" spans="1:37" x14ac:dyDescent="0.3">
      <c r="A203" s="2" t="s">
        <v>5</v>
      </c>
      <c r="B203">
        <v>0</v>
      </c>
      <c r="C203">
        <v>22</v>
      </c>
      <c r="D203">
        <v>23</v>
      </c>
      <c r="E203" s="4">
        <v>22</v>
      </c>
      <c r="F203">
        <v>0</v>
      </c>
      <c r="G203">
        <v>22</v>
      </c>
      <c r="H203">
        <v>22</v>
      </c>
      <c r="I203">
        <v>22</v>
      </c>
      <c r="J203">
        <v>0</v>
      </c>
      <c r="K203" s="4">
        <v>22</v>
      </c>
      <c r="L203" s="4">
        <v>22</v>
      </c>
      <c r="M203" s="4">
        <v>22</v>
      </c>
      <c r="N203" s="4">
        <v>22</v>
      </c>
      <c r="O203" s="4">
        <v>22</v>
      </c>
      <c r="P203">
        <v>22</v>
      </c>
      <c r="Q203">
        <v>19</v>
      </c>
      <c r="R203">
        <v>22</v>
      </c>
      <c r="S203">
        <v>22</v>
      </c>
      <c r="T203" s="4">
        <v>22</v>
      </c>
      <c r="U203" s="4">
        <v>22</v>
      </c>
      <c r="V203" s="4">
        <v>22</v>
      </c>
      <c r="W203">
        <v>22</v>
      </c>
      <c r="X203" s="4">
        <v>22</v>
      </c>
      <c r="Y203" s="4">
        <v>22</v>
      </c>
      <c r="Z203" s="4">
        <v>22</v>
      </c>
      <c r="AA203" s="4">
        <v>22</v>
      </c>
      <c r="AB203" s="4">
        <v>22</v>
      </c>
      <c r="AC203">
        <v>34</v>
      </c>
      <c r="AE203" s="4">
        <v>23</v>
      </c>
      <c r="AH203">
        <f>SUM(B203:AE203)</f>
        <v>583</v>
      </c>
      <c r="AI203" s="2" t="s">
        <v>5</v>
      </c>
    </row>
    <row r="204" spans="1:37" x14ac:dyDescent="0.3">
      <c r="A204" t="s">
        <v>14</v>
      </c>
      <c r="M204">
        <v>5</v>
      </c>
      <c r="N204">
        <v>5</v>
      </c>
      <c r="T204">
        <v>5</v>
      </c>
      <c r="AA204">
        <v>5</v>
      </c>
      <c r="AH204">
        <f>SUM(B204:AE204)</f>
        <v>20</v>
      </c>
      <c r="AI204" t="s">
        <v>14</v>
      </c>
    </row>
    <row r="205" spans="1:37" x14ac:dyDescent="0.3">
      <c r="A205" s="2" t="s">
        <v>0</v>
      </c>
      <c r="F205">
        <v>2000</v>
      </c>
      <c r="K205">
        <v>400</v>
      </c>
      <c r="R205">
        <v>1000</v>
      </c>
      <c r="AB205">
        <v>200</v>
      </c>
      <c r="AH205">
        <f t="shared" ref="AH205:AH222" si="10">SUM(B205:AE205)</f>
        <v>3600</v>
      </c>
      <c r="AI205" s="2" t="s">
        <v>0</v>
      </c>
    </row>
    <row r="206" spans="1:37" x14ac:dyDescent="0.3">
      <c r="A206" s="2" t="s">
        <v>16</v>
      </c>
      <c r="B206">
        <v>20</v>
      </c>
      <c r="C206">
        <v>18</v>
      </c>
      <c r="F206">
        <v>30</v>
      </c>
      <c r="I206">
        <v>10</v>
      </c>
      <c r="K206" s="4">
        <v>25</v>
      </c>
      <c r="M206" s="4">
        <v>14</v>
      </c>
      <c r="N206">
        <v>560</v>
      </c>
      <c r="O206">
        <v>10</v>
      </c>
      <c r="P206">
        <v>10</v>
      </c>
      <c r="T206">
        <v>40</v>
      </c>
      <c r="U206" s="4">
        <v>19</v>
      </c>
      <c r="Z206">
        <v>30</v>
      </c>
      <c r="AA206" s="4">
        <v>20</v>
      </c>
      <c r="AB206">
        <v>570</v>
      </c>
      <c r="AE206">
        <v>10</v>
      </c>
      <c r="AH206">
        <f t="shared" si="10"/>
        <v>1386</v>
      </c>
      <c r="AI206" s="2" t="s">
        <v>16</v>
      </c>
    </row>
    <row r="207" spans="1:37" x14ac:dyDescent="0.3">
      <c r="A207" s="2" t="s">
        <v>34</v>
      </c>
      <c r="B207">
        <v>23</v>
      </c>
      <c r="E207">
        <v>752</v>
      </c>
      <c r="K207" s="4"/>
      <c r="T207" s="4">
        <v>115</v>
      </c>
      <c r="AH207">
        <f t="shared" si="10"/>
        <v>890</v>
      </c>
      <c r="AI207" s="2" t="s">
        <v>34</v>
      </c>
    </row>
    <row r="208" spans="1:37" x14ac:dyDescent="0.3">
      <c r="A208" s="2" t="s">
        <v>18</v>
      </c>
      <c r="B208" s="4">
        <v>336</v>
      </c>
      <c r="E208">
        <v>1600</v>
      </c>
      <c r="F208">
        <v>100</v>
      </c>
      <c r="G208">
        <v>45</v>
      </c>
      <c r="I208">
        <v>90</v>
      </c>
      <c r="K208" s="4">
        <v>68</v>
      </c>
      <c r="L208" s="4">
        <v>313</v>
      </c>
      <c r="O208" s="4">
        <v>265</v>
      </c>
      <c r="Q208" s="4">
        <v>89</v>
      </c>
      <c r="S208" s="4">
        <v>260</v>
      </c>
      <c r="U208">
        <v>50</v>
      </c>
      <c r="Y208" s="4">
        <v>279.31</v>
      </c>
      <c r="AB208">
        <v>20</v>
      </c>
      <c r="AC208">
        <v>495</v>
      </c>
      <c r="AD208">
        <v>10</v>
      </c>
      <c r="AE208" s="4">
        <v>97.66</v>
      </c>
      <c r="AH208">
        <f t="shared" si="10"/>
        <v>4117.97</v>
      </c>
      <c r="AI208" s="2" t="s">
        <v>18</v>
      </c>
    </row>
    <row r="209" spans="1:37" x14ac:dyDescent="0.3">
      <c r="A209" s="2" t="s">
        <v>2</v>
      </c>
      <c r="C209">
        <v>22</v>
      </c>
      <c r="E209">
        <v>46</v>
      </c>
      <c r="I209">
        <v>35</v>
      </c>
      <c r="K209">
        <v>53</v>
      </c>
      <c r="L209">
        <v>27</v>
      </c>
      <c r="M209" s="4">
        <v>15</v>
      </c>
      <c r="N209">
        <v>80</v>
      </c>
      <c r="O209">
        <v>12</v>
      </c>
      <c r="P209">
        <v>12</v>
      </c>
      <c r="R209">
        <v>14</v>
      </c>
      <c r="U209">
        <v>44</v>
      </c>
      <c r="V209" s="4">
        <v>66.400000000000006</v>
      </c>
      <c r="X209">
        <v>30</v>
      </c>
      <c r="Z209">
        <v>50</v>
      </c>
      <c r="AA209">
        <v>20</v>
      </c>
      <c r="AD209">
        <v>40</v>
      </c>
      <c r="AH209">
        <f t="shared" si="10"/>
        <v>566.4</v>
      </c>
      <c r="AI209" s="2" t="s">
        <v>2</v>
      </c>
    </row>
    <row r="210" spans="1:37" x14ac:dyDescent="0.3">
      <c r="A210" s="2" t="s">
        <v>19</v>
      </c>
      <c r="D210">
        <v>20</v>
      </c>
      <c r="O210">
        <v>30</v>
      </c>
      <c r="R210">
        <v>30</v>
      </c>
      <c r="U210" s="4">
        <v>49</v>
      </c>
      <c r="X210">
        <v>30</v>
      </c>
      <c r="AA210">
        <v>30</v>
      </c>
      <c r="AH210">
        <f t="shared" si="10"/>
        <v>189</v>
      </c>
      <c r="AI210" s="2" t="s">
        <v>19</v>
      </c>
    </row>
    <row r="211" spans="1:37" x14ac:dyDescent="0.3">
      <c r="A211" s="2" t="s">
        <v>7</v>
      </c>
      <c r="K211">
        <v>20</v>
      </c>
      <c r="O211">
        <v>30</v>
      </c>
      <c r="T211">
        <v>30</v>
      </c>
      <c r="X211">
        <v>30</v>
      </c>
      <c r="AA211">
        <v>30</v>
      </c>
      <c r="AH211">
        <f t="shared" si="10"/>
        <v>140</v>
      </c>
      <c r="AI211" s="2" t="s">
        <v>7</v>
      </c>
    </row>
    <row r="212" spans="1:37" x14ac:dyDescent="0.3">
      <c r="A212" s="2" t="s">
        <v>15</v>
      </c>
      <c r="K212">
        <v>153</v>
      </c>
      <c r="L212">
        <v>281</v>
      </c>
      <c r="M212">
        <v>370</v>
      </c>
      <c r="N212">
        <v>358</v>
      </c>
      <c r="O212">
        <v>125</v>
      </c>
      <c r="AH212">
        <f t="shared" si="10"/>
        <v>1287</v>
      </c>
      <c r="AI212" s="2" t="s">
        <v>15</v>
      </c>
    </row>
    <row r="213" spans="1:37" x14ac:dyDescent="0.3">
      <c r="A213" s="2" t="s">
        <v>13</v>
      </c>
      <c r="K213">
        <v>200</v>
      </c>
      <c r="AH213">
        <f t="shared" si="10"/>
        <v>200</v>
      </c>
      <c r="AI213" s="2" t="s">
        <v>13</v>
      </c>
    </row>
    <row r="214" spans="1:37" x14ac:dyDescent="0.3">
      <c r="A214" s="2" t="s">
        <v>17</v>
      </c>
      <c r="S214">
        <v>1178</v>
      </c>
      <c r="AH214">
        <f t="shared" si="10"/>
        <v>1178</v>
      </c>
      <c r="AI214" s="2" t="s">
        <v>17</v>
      </c>
    </row>
    <row r="215" spans="1:37" x14ac:dyDescent="0.3">
      <c r="A215" s="2" t="s">
        <v>21</v>
      </c>
      <c r="E215">
        <v>24</v>
      </c>
      <c r="AH215">
        <f t="shared" si="10"/>
        <v>24</v>
      </c>
      <c r="AI215" s="2" t="s">
        <v>21</v>
      </c>
    </row>
    <row r="216" spans="1:37" x14ac:dyDescent="0.3">
      <c r="A216" s="2" t="s">
        <v>20</v>
      </c>
      <c r="J216">
        <v>24</v>
      </c>
      <c r="K216">
        <v>150</v>
      </c>
      <c r="S216">
        <v>20</v>
      </c>
      <c r="V216">
        <v>4</v>
      </c>
      <c r="X216">
        <v>50</v>
      </c>
      <c r="Y216">
        <v>35</v>
      </c>
      <c r="AH216">
        <f t="shared" si="10"/>
        <v>283</v>
      </c>
      <c r="AI216" s="2" t="s">
        <v>20</v>
      </c>
    </row>
    <row r="217" spans="1:37" x14ac:dyDescent="0.3">
      <c r="A217" s="2" t="s">
        <v>8</v>
      </c>
      <c r="K217">
        <v>780</v>
      </c>
      <c r="W217">
        <v>5</v>
      </c>
      <c r="AH217">
        <f t="shared" si="10"/>
        <v>785</v>
      </c>
      <c r="AI217" s="2" t="s">
        <v>8</v>
      </c>
    </row>
    <row r="218" spans="1:37" x14ac:dyDescent="0.3">
      <c r="A218" s="2" t="s">
        <v>12</v>
      </c>
      <c r="K218">
        <v>10600</v>
      </c>
      <c r="O218">
        <v>250</v>
      </c>
      <c r="W218">
        <v>2</v>
      </c>
      <c r="AB218">
        <v>7</v>
      </c>
      <c r="AH218">
        <f t="shared" si="10"/>
        <v>10859</v>
      </c>
      <c r="AI218" s="2" t="s">
        <v>12</v>
      </c>
    </row>
    <row r="219" spans="1:37" x14ac:dyDescent="0.3">
      <c r="A219" s="2" t="s">
        <v>30</v>
      </c>
      <c r="F219">
        <v>180</v>
      </c>
      <c r="AH219">
        <f t="shared" si="10"/>
        <v>180</v>
      </c>
      <c r="AI219" s="2" t="s">
        <v>30</v>
      </c>
    </row>
    <row r="220" spans="1:37" x14ac:dyDescent="0.3">
      <c r="A220" s="2" t="s">
        <v>11</v>
      </c>
      <c r="AC220">
        <v>1070</v>
      </c>
      <c r="AH220">
        <f t="shared" si="10"/>
        <v>1070</v>
      </c>
      <c r="AI220" s="2" t="s">
        <v>11</v>
      </c>
    </row>
    <row r="221" spans="1:37" x14ac:dyDescent="0.3">
      <c r="A221" s="2" t="s">
        <v>23</v>
      </c>
      <c r="F221">
        <v>449</v>
      </c>
      <c r="AH221">
        <f t="shared" si="10"/>
        <v>449</v>
      </c>
      <c r="AI221" s="2" t="s">
        <v>23</v>
      </c>
    </row>
    <row r="222" spans="1:37" x14ac:dyDescent="0.3">
      <c r="A222" s="2" t="s">
        <v>4</v>
      </c>
      <c r="D222">
        <v>1930</v>
      </c>
      <c r="H222">
        <v>40</v>
      </c>
      <c r="AD222">
        <v>30</v>
      </c>
      <c r="AH222">
        <f t="shared" si="10"/>
        <v>2000</v>
      </c>
      <c r="AI222" s="2" t="s">
        <v>4</v>
      </c>
    </row>
    <row r="223" spans="1:37" x14ac:dyDescent="0.3">
      <c r="Q223" s="6">
        <f>SUM(B203:AE222)</f>
        <v>29807.37</v>
      </c>
      <c r="R223">
        <v>-10000</v>
      </c>
      <c r="AK223">
        <f>SUM(AK201,Q223)</f>
        <v>342973.65</v>
      </c>
    </row>
    <row r="224" spans="1:37" x14ac:dyDescent="0.3">
      <c r="B224" s="1">
        <v>44896</v>
      </c>
      <c r="C224" s="1">
        <v>44897</v>
      </c>
      <c r="D224" s="1">
        <v>44898</v>
      </c>
      <c r="E224" s="1">
        <v>44899</v>
      </c>
      <c r="F224" s="1">
        <v>44900</v>
      </c>
      <c r="G224" s="1">
        <v>44901</v>
      </c>
      <c r="H224" s="1">
        <v>44902</v>
      </c>
      <c r="I224" s="1">
        <v>44903</v>
      </c>
      <c r="J224" s="1">
        <v>44904</v>
      </c>
      <c r="K224" s="1">
        <v>44905</v>
      </c>
      <c r="L224" s="1">
        <v>44906</v>
      </c>
      <c r="M224" s="1">
        <v>44907</v>
      </c>
      <c r="N224" s="1">
        <v>44908</v>
      </c>
      <c r="O224" s="1">
        <v>44909</v>
      </c>
      <c r="P224" s="1">
        <v>44910</v>
      </c>
      <c r="Q224" s="1">
        <v>44911</v>
      </c>
      <c r="R224" s="1">
        <v>44912</v>
      </c>
      <c r="S224" s="1">
        <v>44913</v>
      </c>
      <c r="T224" s="1">
        <v>44914</v>
      </c>
      <c r="U224" s="1">
        <v>44915</v>
      </c>
      <c r="V224" s="1">
        <v>44916</v>
      </c>
      <c r="W224" s="1">
        <v>44917</v>
      </c>
      <c r="X224" s="1">
        <v>44918</v>
      </c>
      <c r="Y224" s="1">
        <v>44919</v>
      </c>
      <c r="Z224" s="1">
        <v>44920</v>
      </c>
      <c r="AA224" s="1">
        <v>44921</v>
      </c>
      <c r="AB224" s="1">
        <v>44922</v>
      </c>
      <c r="AC224" s="1">
        <v>44923</v>
      </c>
      <c r="AD224" s="1">
        <v>44924</v>
      </c>
      <c r="AE224" s="1">
        <v>44925</v>
      </c>
      <c r="AF224" s="1">
        <v>44926</v>
      </c>
    </row>
    <row r="225" spans="1:35" x14ac:dyDescent="0.3">
      <c r="A225" s="2" t="s">
        <v>5</v>
      </c>
      <c r="B225" s="4">
        <v>23</v>
      </c>
      <c r="C225">
        <v>23</v>
      </c>
      <c r="D225">
        <v>23</v>
      </c>
      <c r="E225">
        <v>23.5</v>
      </c>
      <c r="F225">
        <v>23</v>
      </c>
      <c r="G225" s="4">
        <v>23</v>
      </c>
      <c r="H225">
        <v>23</v>
      </c>
      <c r="I225">
        <v>0</v>
      </c>
      <c r="J225" s="4">
        <v>23</v>
      </c>
      <c r="K225" s="4">
        <v>23</v>
      </c>
      <c r="L225" s="4">
        <v>23</v>
      </c>
      <c r="M225" s="4">
        <v>0</v>
      </c>
      <c r="N225">
        <v>23</v>
      </c>
      <c r="O225" s="4">
        <v>23</v>
      </c>
      <c r="P225">
        <v>23</v>
      </c>
      <c r="Q225" s="4">
        <v>23</v>
      </c>
      <c r="R225">
        <v>23</v>
      </c>
      <c r="S225" s="4">
        <v>23</v>
      </c>
      <c r="T225">
        <v>34</v>
      </c>
      <c r="U225" s="4">
        <v>23</v>
      </c>
      <c r="V225">
        <v>23</v>
      </c>
      <c r="W225">
        <v>24</v>
      </c>
      <c r="X225" s="4">
        <v>23</v>
      </c>
      <c r="Y225" s="4">
        <v>24</v>
      </c>
      <c r="Z225" s="4">
        <v>23</v>
      </c>
      <c r="AA225">
        <v>23</v>
      </c>
      <c r="AB225">
        <v>24</v>
      </c>
      <c r="AC225">
        <v>39</v>
      </c>
      <c r="AD225">
        <v>20</v>
      </c>
      <c r="AE225">
        <v>45</v>
      </c>
      <c r="AF225">
        <v>0</v>
      </c>
      <c r="AH225">
        <f>SUM(B225:AF225)</f>
        <v>693.5</v>
      </c>
      <c r="AI225" s="2" t="s">
        <v>5</v>
      </c>
    </row>
    <row r="226" spans="1:35" x14ac:dyDescent="0.3">
      <c r="A226" t="s">
        <v>14</v>
      </c>
      <c r="D226">
        <v>5</v>
      </c>
      <c r="K226">
        <v>5</v>
      </c>
      <c r="R226">
        <v>5</v>
      </c>
      <c r="AF226">
        <v>5</v>
      </c>
      <c r="AH226">
        <f>SUM(B226:AF226)</f>
        <v>20</v>
      </c>
      <c r="AI226" t="s">
        <v>14</v>
      </c>
    </row>
    <row r="227" spans="1:35" x14ac:dyDescent="0.3">
      <c r="A227" s="2" t="s">
        <v>0</v>
      </c>
      <c r="K227">
        <v>100</v>
      </c>
      <c r="N227">
        <v>200</v>
      </c>
      <c r="O227">
        <v>10</v>
      </c>
      <c r="T227">
        <v>100</v>
      </c>
      <c r="W227">
        <v>200</v>
      </c>
      <c r="Y227">
        <v>2100</v>
      </c>
      <c r="AH227">
        <f t="shared" ref="AH227:AH241" si="11">SUM(B227:AF227)</f>
        <v>2710</v>
      </c>
      <c r="AI227" s="2" t="s">
        <v>0</v>
      </c>
    </row>
    <row r="228" spans="1:35" x14ac:dyDescent="0.3">
      <c r="A228" s="2" t="s">
        <v>16</v>
      </c>
      <c r="C228">
        <v>20</v>
      </c>
      <c r="G228">
        <v>80</v>
      </c>
      <c r="J228">
        <v>10</v>
      </c>
      <c r="K228">
        <v>120</v>
      </c>
      <c r="L228" s="4">
        <v>15</v>
      </c>
      <c r="O228">
        <v>30</v>
      </c>
      <c r="P228" s="4">
        <v>44</v>
      </c>
      <c r="Q228">
        <v>50</v>
      </c>
      <c r="S228">
        <v>445</v>
      </c>
      <c r="U228">
        <v>10</v>
      </c>
      <c r="V228">
        <v>40</v>
      </c>
      <c r="X228">
        <v>20</v>
      </c>
      <c r="Y228">
        <v>40</v>
      </c>
      <c r="Z228">
        <v>30</v>
      </c>
      <c r="AB228">
        <v>20</v>
      </c>
      <c r="AE228">
        <v>30</v>
      </c>
      <c r="AF228">
        <v>88</v>
      </c>
      <c r="AH228">
        <f t="shared" si="11"/>
        <v>1092</v>
      </c>
      <c r="AI228" s="2" t="s">
        <v>16</v>
      </c>
    </row>
    <row r="229" spans="1:35" x14ac:dyDescent="0.3">
      <c r="A229" s="2" t="s">
        <v>34</v>
      </c>
      <c r="J229" s="4">
        <v>115</v>
      </c>
      <c r="P229">
        <v>434</v>
      </c>
      <c r="AB229">
        <v>20</v>
      </c>
      <c r="AD229" s="4">
        <v>71</v>
      </c>
      <c r="AH229">
        <f t="shared" si="11"/>
        <v>640</v>
      </c>
      <c r="AI229" s="2" t="s">
        <v>34</v>
      </c>
    </row>
    <row r="230" spans="1:35" x14ac:dyDescent="0.3">
      <c r="A230" s="2" t="s">
        <v>18</v>
      </c>
      <c r="B230">
        <v>10</v>
      </c>
      <c r="C230">
        <v>88</v>
      </c>
      <c r="D230">
        <v>42.5</v>
      </c>
      <c r="F230">
        <v>1380</v>
      </c>
      <c r="G230" s="4">
        <v>132</v>
      </c>
      <c r="I230" s="4">
        <v>207</v>
      </c>
      <c r="L230" s="4">
        <v>49.5</v>
      </c>
      <c r="M230" s="4">
        <v>214</v>
      </c>
      <c r="N230" s="4">
        <v>50</v>
      </c>
      <c r="O230">
        <v>405</v>
      </c>
      <c r="P230" s="4">
        <v>478</v>
      </c>
      <c r="Q230">
        <v>150</v>
      </c>
      <c r="T230">
        <v>528</v>
      </c>
      <c r="U230">
        <v>30</v>
      </c>
      <c r="AB230">
        <v>50</v>
      </c>
      <c r="AE230">
        <v>112.46</v>
      </c>
      <c r="AF230">
        <v>20</v>
      </c>
      <c r="AH230">
        <f t="shared" si="11"/>
        <v>3946.46</v>
      </c>
      <c r="AI230" s="2" t="s">
        <v>18</v>
      </c>
    </row>
    <row r="231" spans="1:35" x14ac:dyDescent="0.3">
      <c r="A231" s="2" t="s">
        <v>2</v>
      </c>
      <c r="B231">
        <v>39</v>
      </c>
      <c r="D231">
        <v>45</v>
      </c>
      <c r="G231">
        <v>17</v>
      </c>
      <c r="J231">
        <v>85</v>
      </c>
      <c r="K231" s="4">
        <v>17</v>
      </c>
      <c r="L231">
        <v>30</v>
      </c>
      <c r="M231" s="4">
        <v>33.28</v>
      </c>
      <c r="O231">
        <v>44</v>
      </c>
      <c r="P231" s="4">
        <v>60</v>
      </c>
      <c r="Q231">
        <v>20</v>
      </c>
      <c r="S231">
        <v>80</v>
      </c>
      <c r="V231">
        <v>100</v>
      </c>
      <c r="X231">
        <v>90</v>
      </c>
      <c r="Y231">
        <v>40</v>
      </c>
      <c r="Z231">
        <v>30</v>
      </c>
      <c r="AD231">
        <v>32</v>
      </c>
      <c r="AE231">
        <v>37</v>
      </c>
      <c r="AF231">
        <v>70</v>
      </c>
      <c r="AH231">
        <f t="shared" si="11"/>
        <v>869.28</v>
      </c>
      <c r="AI231" s="2" t="s">
        <v>2</v>
      </c>
    </row>
    <row r="232" spans="1:35" x14ac:dyDescent="0.3">
      <c r="A232" s="2" t="s">
        <v>19</v>
      </c>
      <c r="D232">
        <v>40</v>
      </c>
      <c r="E232">
        <v>180</v>
      </c>
      <c r="H232">
        <v>40</v>
      </c>
      <c r="M232">
        <v>20</v>
      </c>
      <c r="N232">
        <v>30</v>
      </c>
      <c r="T232">
        <v>150</v>
      </c>
      <c r="U232">
        <v>65</v>
      </c>
      <c r="V232">
        <v>160</v>
      </c>
      <c r="Y232" s="4">
        <v>172</v>
      </c>
      <c r="AB232">
        <v>35</v>
      </c>
      <c r="AD232">
        <v>10</v>
      </c>
      <c r="AH232">
        <f t="shared" si="11"/>
        <v>902</v>
      </c>
      <c r="AI232" s="2" t="s">
        <v>19</v>
      </c>
    </row>
    <row r="233" spans="1:35" x14ac:dyDescent="0.3">
      <c r="A233" s="2" t="s">
        <v>7</v>
      </c>
      <c r="G233">
        <v>30</v>
      </c>
      <c r="H233">
        <v>30</v>
      </c>
      <c r="Q233">
        <v>30</v>
      </c>
      <c r="S233">
        <v>20</v>
      </c>
      <c r="AF233">
        <v>30</v>
      </c>
      <c r="AH233">
        <f t="shared" si="11"/>
        <v>140</v>
      </c>
      <c r="AI233" s="2" t="s">
        <v>7</v>
      </c>
    </row>
    <row r="234" spans="1:35" x14ac:dyDescent="0.3">
      <c r="A234" s="2" t="s">
        <v>15</v>
      </c>
      <c r="K234">
        <v>224</v>
      </c>
      <c r="L234">
        <v>211</v>
      </c>
      <c r="M234">
        <v>281</v>
      </c>
      <c r="N234">
        <v>470</v>
      </c>
      <c r="O234">
        <v>377</v>
      </c>
      <c r="AH234">
        <f t="shared" si="11"/>
        <v>1563</v>
      </c>
      <c r="AI234" s="2" t="s">
        <v>15</v>
      </c>
    </row>
    <row r="235" spans="1:35" x14ac:dyDescent="0.3">
      <c r="A235" s="2" t="s">
        <v>13</v>
      </c>
      <c r="K235">
        <v>200</v>
      </c>
      <c r="AH235">
        <f t="shared" si="11"/>
        <v>200</v>
      </c>
      <c r="AI235" s="2" t="s">
        <v>13</v>
      </c>
    </row>
    <row r="236" spans="1:35" x14ac:dyDescent="0.3">
      <c r="A236" s="2" t="s">
        <v>17</v>
      </c>
      <c r="S236">
        <v>1178</v>
      </c>
      <c r="AH236">
        <f t="shared" si="11"/>
        <v>1178</v>
      </c>
      <c r="AI236" s="2" t="s">
        <v>17</v>
      </c>
    </row>
    <row r="237" spans="1:35" x14ac:dyDescent="0.3">
      <c r="A237" s="2" t="s">
        <v>20</v>
      </c>
      <c r="V237">
        <v>50</v>
      </c>
      <c r="Z237">
        <v>305</v>
      </c>
      <c r="AC237">
        <v>2931</v>
      </c>
      <c r="AD237">
        <v>280</v>
      </c>
      <c r="AH237">
        <f t="shared" si="11"/>
        <v>3566</v>
      </c>
      <c r="AI237" s="2" t="s">
        <v>20</v>
      </c>
    </row>
    <row r="238" spans="1:35" x14ac:dyDescent="0.3">
      <c r="A238" s="2" t="s">
        <v>12</v>
      </c>
      <c r="F238">
        <v>70</v>
      </c>
      <c r="K238">
        <v>250</v>
      </c>
      <c r="N238">
        <v>20</v>
      </c>
      <c r="U238">
        <v>600</v>
      </c>
      <c r="V238">
        <v>330</v>
      </c>
      <c r="W238">
        <v>4</v>
      </c>
      <c r="Z238">
        <v>450</v>
      </c>
      <c r="AD238">
        <v>455</v>
      </c>
      <c r="AE238">
        <v>30</v>
      </c>
      <c r="AF238">
        <v>10</v>
      </c>
      <c r="AH238">
        <f t="shared" si="11"/>
        <v>2219</v>
      </c>
      <c r="AI238" s="2" t="s">
        <v>12</v>
      </c>
    </row>
    <row r="239" spans="1:35" x14ac:dyDescent="0.3">
      <c r="A239" s="2" t="s">
        <v>30</v>
      </c>
      <c r="H239">
        <v>70</v>
      </c>
      <c r="Y239">
        <v>135</v>
      </c>
      <c r="AH239">
        <f t="shared" si="11"/>
        <v>205</v>
      </c>
      <c r="AI239" s="2" t="s">
        <v>30</v>
      </c>
    </row>
    <row r="240" spans="1:35" x14ac:dyDescent="0.3">
      <c r="A240" s="2" t="s">
        <v>23</v>
      </c>
      <c r="Y240">
        <v>165</v>
      </c>
      <c r="AH240">
        <f t="shared" si="11"/>
        <v>165</v>
      </c>
      <c r="AI240" s="2" t="s">
        <v>23</v>
      </c>
    </row>
    <row r="241" spans="1:38" x14ac:dyDescent="0.3">
      <c r="A241" s="2" t="s">
        <v>4</v>
      </c>
      <c r="G241">
        <v>160</v>
      </c>
      <c r="H241">
        <v>45</v>
      </c>
      <c r="L241">
        <v>18</v>
      </c>
      <c r="P241">
        <v>10</v>
      </c>
      <c r="U241">
        <v>50</v>
      </c>
      <c r="V241">
        <v>120</v>
      </c>
      <c r="W241">
        <v>37</v>
      </c>
      <c r="Z241">
        <v>200</v>
      </c>
      <c r="AF241">
        <v>10</v>
      </c>
      <c r="AH241">
        <f t="shared" si="11"/>
        <v>650</v>
      </c>
      <c r="AI241" s="2" t="s">
        <v>4</v>
      </c>
    </row>
    <row r="242" spans="1:38" x14ac:dyDescent="0.3">
      <c r="Q242" s="6">
        <f>SUM(B225:AF241)</f>
        <v>20759.239999999998</v>
      </c>
      <c r="AK242">
        <f>SUM(AK223,Q242)</f>
        <v>363732.89</v>
      </c>
    </row>
    <row r="243" spans="1:38" x14ac:dyDescent="0.3">
      <c r="AK243">
        <v>24000</v>
      </c>
    </row>
    <row r="244" spans="1:38" x14ac:dyDescent="0.3">
      <c r="AK244">
        <f>SUM(AK242:AK243)</f>
        <v>387732.89</v>
      </c>
    </row>
    <row r="245" spans="1:38" x14ac:dyDescent="0.3">
      <c r="AK245">
        <v>6400</v>
      </c>
      <c r="AL245" t="s">
        <v>23</v>
      </c>
    </row>
    <row r="246" spans="1:38" x14ac:dyDescent="0.3">
      <c r="AK246">
        <f>SUM(AK244:AK245)</f>
        <v>394132.89</v>
      </c>
    </row>
    <row r="252" spans="1:38" x14ac:dyDescent="0.3">
      <c r="AK252">
        <f>1250*12</f>
        <v>15000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B572-882A-444B-9115-DB21AF91CC73}">
  <dimension ref="A1:H24"/>
  <sheetViews>
    <sheetView workbookViewId="0">
      <selection activeCell="G12" sqref="G10:H12"/>
    </sheetView>
  </sheetViews>
  <sheetFormatPr defaultRowHeight="14.4" x14ac:dyDescent="0.3"/>
  <sheetData>
    <row r="1" spans="1:8" x14ac:dyDescent="0.3">
      <c r="A1" s="21" t="s">
        <v>36</v>
      </c>
      <c r="B1" s="21"/>
    </row>
    <row r="2" spans="1:8" x14ac:dyDescent="0.3">
      <c r="A2" t="s">
        <v>39</v>
      </c>
      <c r="B2">
        <v>150</v>
      </c>
      <c r="F2" t="s">
        <v>56</v>
      </c>
      <c r="G2">
        <v>30</v>
      </c>
      <c r="H2">
        <v>10</v>
      </c>
    </row>
    <row r="3" spans="1:8" x14ac:dyDescent="0.3">
      <c r="A3" t="s">
        <v>50</v>
      </c>
      <c r="B3">
        <v>800</v>
      </c>
      <c r="F3" t="s">
        <v>57</v>
      </c>
      <c r="G3">
        <v>50</v>
      </c>
      <c r="H3">
        <v>30</v>
      </c>
    </row>
    <row r="4" spans="1:8" x14ac:dyDescent="0.3">
      <c r="A4" t="s">
        <v>49</v>
      </c>
      <c r="B4">
        <v>100</v>
      </c>
      <c r="F4" t="s">
        <v>58</v>
      </c>
      <c r="G4">
        <v>50</v>
      </c>
      <c r="H4">
        <v>30</v>
      </c>
    </row>
    <row r="5" spans="1:8" x14ac:dyDescent="0.3">
      <c r="A5" t="s">
        <v>48</v>
      </c>
      <c r="B5">
        <v>270</v>
      </c>
      <c r="F5" t="s">
        <v>59</v>
      </c>
      <c r="G5">
        <v>55</v>
      </c>
      <c r="H5">
        <v>25</v>
      </c>
    </row>
    <row r="6" spans="1:8" x14ac:dyDescent="0.3">
      <c r="A6" t="s">
        <v>47</v>
      </c>
      <c r="B6">
        <v>450</v>
      </c>
      <c r="F6" t="s">
        <v>60</v>
      </c>
      <c r="G6">
        <v>45</v>
      </c>
      <c r="H6">
        <v>25</v>
      </c>
    </row>
    <row r="7" spans="1:8" x14ac:dyDescent="0.3">
      <c r="A7" t="s">
        <v>46</v>
      </c>
      <c r="B7">
        <v>200</v>
      </c>
    </row>
    <row r="8" spans="1:8" x14ac:dyDescent="0.3">
      <c r="A8" t="s">
        <v>45</v>
      </c>
      <c r="B8">
        <v>1000</v>
      </c>
    </row>
    <row r="9" spans="1:8" x14ac:dyDescent="0.3">
      <c r="A9" t="s">
        <v>44</v>
      </c>
      <c r="B9">
        <v>50</v>
      </c>
    </row>
    <row r="10" spans="1:8" x14ac:dyDescent="0.3">
      <c r="A10" t="s">
        <v>43</v>
      </c>
      <c r="B10">
        <v>50</v>
      </c>
      <c r="G10">
        <v>30</v>
      </c>
      <c r="H10">
        <v>10</v>
      </c>
    </row>
    <row r="11" spans="1:8" x14ac:dyDescent="0.3">
      <c r="A11" t="s">
        <v>42</v>
      </c>
      <c r="B11">
        <v>30</v>
      </c>
      <c r="G11">
        <v>50</v>
      </c>
      <c r="H11">
        <v>30</v>
      </c>
    </row>
    <row r="12" spans="1:8" x14ac:dyDescent="0.3">
      <c r="A12" t="s">
        <v>41</v>
      </c>
      <c r="B12">
        <v>1600</v>
      </c>
      <c r="G12">
        <v>45</v>
      </c>
    </row>
    <row r="13" spans="1:8" x14ac:dyDescent="0.3">
      <c r="A13" t="s">
        <v>40</v>
      </c>
      <c r="B13">
        <v>70</v>
      </c>
    </row>
    <row r="14" spans="1:8" x14ac:dyDescent="0.3">
      <c r="A14" t="s">
        <v>39</v>
      </c>
      <c r="B14">
        <v>130</v>
      </c>
    </row>
    <row r="15" spans="1:8" x14ac:dyDescent="0.3">
      <c r="A15" t="s">
        <v>38</v>
      </c>
      <c r="B15">
        <v>10</v>
      </c>
    </row>
    <row r="16" spans="1:8" x14ac:dyDescent="0.3">
      <c r="A16" t="s">
        <v>37</v>
      </c>
      <c r="B16">
        <v>829.96</v>
      </c>
    </row>
    <row r="17" spans="1:3" x14ac:dyDescent="0.3">
      <c r="B17">
        <v>213.69</v>
      </c>
    </row>
    <row r="18" spans="1:3" x14ac:dyDescent="0.3">
      <c r="B18">
        <v>428.7</v>
      </c>
    </row>
    <row r="21" spans="1:3" x14ac:dyDescent="0.3">
      <c r="B21">
        <f>SUM(B2:B18)</f>
        <v>6382.3499999999995</v>
      </c>
    </row>
    <row r="22" spans="1:3" x14ac:dyDescent="0.3">
      <c r="A22" t="s">
        <v>51</v>
      </c>
    </row>
    <row r="23" spans="1:3" x14ac:dyDescent="0.3">
      <c r="A23">
        <v>829.96</v>
      </c>
      <c r="B23">
        <v>615</v>
      </c>
      <c r="C23">
        <f>A23-B23</f>
        <v>214.96000000000004</v>
      </c>
    </row>
    <row r="24" spans="1:3" x14ac:dyDescent="0.3">
      <c r="A24">
        <v>768.69</v>
      </c>
      <c r="B24">
        <v>555</v>
      </c>
      <c r="C24">
        <f>A24-B24</f>
        <v>213.69000000000005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B228-277A-4DB9-963E-20D42704694C}">
  <dimension ref="A1:AP266"/>
  <sheetViews>
    <sheetView topLeftCell="S238" zoomScale="85" zoomScaleNormal="85" workbookViewId="0">
      <selection activeCell="AH16" sqref="AH16:AH240"/>
    </sheetView>
  </sheetViews>
  <sheetFormatPr defaultRowHeight="14.4" x14ac:dyDescent="0.3"/>
  <cols>
    <col min="1" max="1" width="10.109375" customWidth="1"/>
    <col min="11" max="16" width="9.77734375" bestFit="1" customWidth="1"/>
    <col min="17" max="17" width="10" bestFit="1" customWidth="1"/>
    <col min="18" max="29" width="9.77734375" bestFit="1" customWidth="1"/>
    <col min="30" max="32" width="9.6640625" bestFit="1" customWidth="1"/>
    <col min="38" max="38" width="20" bestFit="1" customWidth="1"/>
    <col min="39" max="39" width="10.77734375" bestFit="1" customWidth="1"/>
  </cols>
  <sheetData>
    <row r="1" spans="1:38" x14ac:dyDescent="0.3">
      <c r="B1" s="1">
        <v>44927</v>
      </c>
      <c r="C1" s="1">
        <v>44928</v>
      </c>
      <c r="D1" s="1">
        <v>44929</v>
      </c>
      <c r="E1" s="1">
        <v>44930</v>
      </c>
      <c r="F1" s="1">
        <v>44931</v>
      </c>
      <c r="G1" s="1">
        <v>44932</v>
      </c>
      <c r="H1" s="1">
        <v>44933</v>
      </c>
      <c r="I1" s="1">
        <v>44934</v>
      </c>
      <c r="J1" s="1">
        <v>44935</v>
      </c>
      <c r="K1" s="1">
        <v>44936</v>
      </c>
      <c r="L1" s="1">
        <v>44937</v>
      </c>
      <c r="M1" s="1">
        <v>44938</v>
      </c>
      <c r="N1" s="1">
        <v>44939</v>
      </c>
      <c r="O1" s="1">
        <v>44940</v>
      </c>
      <c r="P1" s="1">
        <v>44941</v>
      </c>
      <c r="Q1" s="1">
        <v>44942</v>
      </c>
      <c r="R1" s="1">
        <v>44943</v>
      </c>
      <c r="S1" s="1">
        <v>44944</v>
      </c>
      <c r="T1" s="1">
        <v>44945</v>
      </c>
      <c r="U1" s="1">
        <v>44946</v>
      </c>
      <c r="V1" s="1">
        <v>44947</v>
      </c>
      <c r="W1" s="1">
        <v>44948</v>
      </c>
      <c r="X1" s="1">
        <v>44949</v>
      </c>
      <c r="Y1" s="1">
        <v>44950</v>
      </c>
      <c r="Z1" s="1">
        <v>44951</v>
      </c>
      <c r="AA1" s="1">
        <v>44952</v>
      </c>
      <c r="AB1" s="1">
        <v>44953</v>
      </c>
      <c r="AC1" s="1">
        <v>44954</v>
      </c>
      <c r="AD1" s="1">
        <v>44955</v>
      </c>
      <c r="AE1" s="1">
        <v>44956</v>
      </c>
      <c r="AF1" s="1">
        <v>44957</v>
      </c>
    </row>
    <row r="2" spans="1:38" x14ac:dyDescent="0.3">
      <c r="A2" s="2" t="s">
        <v>5</v>
      </c>
      <c r="B2">
        <v>45</v>
      </c>
      <c r="C2">
        <v>0</v>
      </c>
      <c r="D2">
        <v>45</v>
      </c>
      <c r="E2">
        <v>39</v>
      </c>
      <c r="F2">
        <v>39</v>
      </c>
      <c r="G2">
        <v>0</v>
      </c>
      <c r="H2" s="4">
        <v>46</v>
      </c>
      <c r="I2">
        <v>11</v>
      </c>
      <c r="J2" s="4">
        <v>46</v>
      </c>
      <c r="K2">
        <v>24</v>
      </c>
      <c r="L2" s="4">
        <v>46</v>
      </c>
      <c r="M2">
        <v>0</v>
      </c>
      <c r="N2" s="4">
        <v>46</v>
      </c>
      <c r="O2" s="4">
        <v>23</v>
      </c>
      <c r="P2" s="4">
        <v>0</v>
      </c>
      <c r="Q2" s="4">
        <v>46</v>
      </c>
      <c r="R2" s="4">
        <v>0</v>
      </c>
      <c r="S2" s="4">
        <v>23</v>
      </c>
      <c r="T2" s="4">
        <v>23</v>
      </c>
      <c r="U2" s="4">
        <v>23</v>
      </c>
      <c r="V2" s="4">
        <v>0</v>
      </c>
      <c r="W2" s="4">
        <v>46</v>
      </c>
      <c r="X2" s="4">
        <v>0</v>
      </c>
      <c r="Y2">
        <v>22</v>
      </c>
      <c r="Z2">
        <v>23</v>
      </c>
      <c r="AA2">
        <v>23</v>
      </c>
      <c r="AB2">
        <v>23</v>
      </c>
      <c r="AC2">
        <v>23</v>
      </c>
      <c r="AD2">
        <v>0</v>
      </c>
      <c r="AE2">
        <v>24</v>
      </c>
      <c r="AF2">
        <v>23</v>
      </c>
      <c r="AH2">
        <f>SUM(B2:AF2)</f>
        <v>732</v>
      </c>
      <c r="AI2" s="2" t="s">
        <v>5</v>
      </c>
    </row>
    <row r="3" spans="1:38" x14ac:dyDescent="0.3">
      <c r="A3" t="s">
        <v>14</v>
      </c>
      <c r="H3">
        <v>5</v>
      </c>
      <c r="I3">
        <v>0</v>
      </c>
      <c r="O3">
        <v>5</v>
      </c>
      <c r="V3">
        <v>5</v>
      </c>
      <c r="AC3">
        <v>5</v>
      </c>
      <c r="AH3">
        <f>SUM(B3:AF3)</f>
        <v>20</v>
      </c>
      <c r="AI3" t="s">
        <v>14</v>
      </c>
      <c r="AL3">
        <v>4000</v>
      </c>
    </row>
    <row r="4" spans="1:38" x14ac:dyDescent="0.3">
      <c r="A4" s="2" t="s">
        <v>0</v>
      </c>
      <c r="D4">
        <v>200</v>
      </c>
      <c r="J4">
        <v>150</v>
      </c>
      <c r="V4">
        <v>200</v>
      </c>
      <c r="W4">
        <v>100</v>
      </c>
      <c r="AA4">
        <v>1000</v>
      </c>
      <c r="AH4">
        <f t="shared" ref="AH4:AH20" si="0">SUM(B4:AF4)</f>
        <v>1650</v>
      </c>
      <c r="AI4" s="2" t="s">
        <v>0</v>
      </c>
      <c r="AL4">
        <v>3000</v>
      </c>
    </row>
    <row r="5" spans="1:38" x14ac:dyDescent="0.3">
      <c r="A5" s="2" t="s">
        <v>16</v>
      </c>
      <c r="D5">
        <v>270</v>
      </c>
      <c r="E5">
        <v>20</v>
      </c>
      <c r="H5">
        <v>50</v>
      </c>
      <c r="I5" s="4">
        <v>3</v>
      </c>
      <c r="J5">
        <v>59</v>
      </c>
      <c r="L5" s="4">
        <v>6</v>
      </c>
      <c r="M5">
        <v>290</v>
      </c>
      <c r="N5" s="4">
        <v>52</v>
      </c>
      <c r="O5">
        <v>30</v>
      </c>
      <c r="S5">
        <v>30</v>
      </c>
      <c r="V5">
        <v>205</v>
      </c>
      <c r="W5" s="4">
        <v>65.38</v>
      </c>
      <c r="AA5">
        <v>10</v>
      </c>
      <c r="AC5">
        <v>18</v>
      </c>
      <c r="AF5">
        <v>80</v>
      </c>
      <c r="AH5">
        <f t="shared" si="0"/>
        <v>1188.3800000000001</v>
      </c>
      <c r="AI5" s="2" t="s">
        <v>16</v>
      </c>
      <c r="AL5">
        <v>2700</v>
      </c>
    </row>
    <row r="6" spans="1:38" x14ac:dyDescent="0.3">
      <c r="A6" s="2" t="s">
        <v>34</v>
      </c>
      <c r="J6">
        <v>80</v>
      </c>
      <c r="K6">
        <v>615</v>
      </c>
      <c r="Z6" s="4">
        <v>209</v>
      </c>
      <c r="AH6">
        <f t="shared" si="0"/>
        <v>904</v>
      </c>
      <c r="AI6" s="2" t="s">
        <v>34</v>
      </c>
      <c r="AL6">
        <v>4700</v>
      </c>
    </row>
    <row r="7" spans="1:38" x14ac:dyDescent="0.3">
      <c r="A7" s="2" t="s">
        <v>18</v>
      </c>
      <c r="B7" s="4">
        <v>205</v>
      </c>
      <c r="H7" s="4">
        <v>775.43</v>
      </c>
      <c r="J7">
        <v>2257</v>
      </c>
      <c r="L7">
        <v>90</v>
      </c>
      <c r="N7" s="4">
        <v>29.24</v>
      </c>
      <c r="U7">
        <v>75</v>
      </c>
      <c r="W7" s="4">
        <v>404.2</v>
      </c>
      <c r="Y7" s="4">
        <v>275.68</v>
      </c>
      <c r="Z7" s="4"/>
      <c r="AB7">
        <v>90</v>
      </c>
      <c r="AC7" s="4">
        <v>55.34</v>
      </c>
      <c r="AD7">
        <v>55</v>
      </c>
      <c r="AH7">
        <f t="shared" si="0"/>
        <v>4311.8899999999994</v>
      </c>
      <c r="AI7" s="2" t="s">
        <v>18</v>
      </c>
      <c r="AL7">
        <v>3060</v>
      </c>
    </row>
    <row r="8" spans="1:38" x14ac:dyDescent="0.3">
      <c r="A8" s="2" t="s">
        <v>2</v>
      </c>
      <c r="E8">
        <v>16</v>
      </c>
      <c r="H8">
        <v>15</v>
      </c>
      <c r="J8" s="4">
        <v>61</v>
      </c>
      <c r="L8">
        <v>78</v>
      </c>
      <c r="N8" s="4">
        <v>32</v>
      </c>
      <c r="O8">
        <v>60</v>
      </c>
      <c r="U8">
        <v>27</v>
      </c>
      <c r="W8" s="4">
        <v>42</v>
      </c>
      <c r="Y8">
        <v>43</v>
      </c>
      <c r="Z8" s="4">
        <v>22.55</v>
      </c>
      <c r="AC8">
        <v>30</v>
      </c>
      <c r="AF8">
        <v>132.71</v>
      </c>
      <c r="AH8">
        <f t="shared" si="0"/>
        <v>559.26</v>
      </c>
      <c r="AI8" s="2" t="s">
        <v>2</v>
      </c>
    </row>
    <row r="9" spans="1:38" x14ac:dyDescent="0.3">
      <c r="A9" s="2" t="s">
        <v>19</v>
      </c>
      <c r="B9">
        <v>30</v>
      </c>
      <c r="O9">
        <v>50</v>
      </c>
      <c r="R9">
        <v>40</v>
      </c>
      <c r="W9">
        <v>70</v>
      </c>
      <c r="Z9" s="4">
        <v>40</v>
      </c>
      <c r="AC9">
        <v>105</v>
      </c>
      <c r="AE9">
        <v>20</v>
      </c>
      <c r="AH9">
        <f t="shared" si="0"/>
        <v>355</v>
      </c>
      <c r="AI9" s="2" t="s">
        <v>19</v>
      </c>
    </row>
    <row r="10" spans="1:38" x14ac:dyDescent="0.3">
      <c r="A10" s="2" t="s">
        <v>7</v>
      </c>
      <c r="H10">
        <v>30</v>
      </c>
      <c r="L10">
        <v>80</v>
      </c>
      <c r="T10">
        <v>50</v>
      </c>
      <c r="AH10">
        <f t="shared" si="0"/>
        <v>160</v>
      </c>
      <c r="AI10" s="2" t="s">
        <v>7</v>
      </c>
    </row>
    <row r="11" spans="1:38" x14ac:dyDescent="0.3">
      <c r="A11" s="2" t="s">
        <v>53</v>
      </c>
      <c r="L11">
        <v>30</v>
      </c>
      <c r="N11" s="4">
        <v>50</v>
      </c>
      <c r="P11">
        <v>95</v>
      </c>
      <c r="AB11">
        <v>20</v>
      </c>
      <c r="AH11">
        <f t="shared" si="0"/>
        <v>195</v>
      </c>
      <c r="AI11" s="2" t="s">
        <v>53</v>
      </c>
    </row>
    <row r="12" spans="1:38" x14ac:dyDescent="0.3">
      <c r="A12" s="2" t="s">
        <v>15</v>
      </c>
      <c r="K12">
        <v>256</v>
      </c>
      <c r="L12">
        <v>199</v>
      </c>
      <c r="M12">
        <v>529</v>
      </c>
      <c r="N12">
        <v>512</v>
      </c>
      <c r="O12">
        <v>274</v>
      </c>
      <c r="AH12">
        <f t="shared" si="0"/>
        <v>1770</v>
      </c>
      <c r="AI12" s="2" t="s">
        <v>15</v>
      </c>
    </row>
    <row r="13" spans="1:38" x14ac:dyDescent="0.3">
      <c r="A13" s="2" t="s">
        <v>13</v>
      </c>
      <c r="J13">
        <v>200</v>
      </c>
      <c r="AH13">
        <f t="shared" si="0"/>
        <v>200</v>
      </c>
      <c r="AI13" s="2" t="s">
        <v>13</v>
      </c>
    </row>
    <row r="14" spans="1:38" x14ac:dyDescent="0.3">
      <c r="A14" s="2" t="s">
        <v>17</v>
      </c>
      <c r="R14">
        <v>1179</v>
      </c>
      <c r="AH14">
        <f t="shared" si="0"/>
        <v>1179</v>
      </c>
      <c r="AI14" s="2" t="s">
        <v>17</v>
      </c>
    </row>
    <row r="15" spans="1:38" x14ac:dyDescent="0.3">
      <c r="A15" s="2" t="s">
        <v>20</v>
      </c>
      <c r="C15">
        <v>10</v>
      </c>
      <c r="D15">
        <v>100</v>
      </c>
      <c r="G15" s="4">
        <v>24</v>
      </c>
      <c r="L15">
        <v>5</v>
      </c>
      <c r="O15">
        <v>40</v>
      </c>
      <c r="X15" s="4">
        <v>24</v>
      </c>
      <c r="Z15">
        <v>209</v>
      </c>
      <c r="AA15">
        <v>150</v>
      </c>
      <c r="AH15">
        <f t="shared" si="0"/>
        <v>562</v>
      </c>
      <c r="AI15" s="2" t="s">
        <v>20</v>
      </c>
    </row>
    <row r="16" spans="1:38" x14ac:dyDescent="0.3">
      <c r="A16" s="2" t="s">
        <v>12</v>
      </c>
      <c r="J16">
        <v>250</v>
      </c>
      <c r="L16">
        <v>600</v>
      </c>
      <c r="U16">
        <v>50</v>
      </c>
      <c r="W16">
        <v>400</v>
      </c>
      <c r="AC16">
        <v>25</v>
      </c>
      <c r="AE16">
        <v>400</v>
      </c>
      <c r="AH16">
        <f t="shared" si="0"/>
        <v>1725</v>
      </c>
      <c r="AI16" s="2" t="s">
        <v>12</v>
      </c>
    </row>
    <row r="17" spans="1:35" x14ac:dyDescent="0.3">
      <c r="A17" s="2" t="s">
        <v>8</v>
      </c>
      <c r="Z17" s="4">
        <v>186</v>
      </c>
      <c r="AH17">
        <f t="shared" si="0"/>
        <v>186</v>
      </c>
      <c r="AI17" s="2" t="s">
        <v>3</v>
      </c>
    </row>
    <row r="18" spans="1:35" x14ac:dyDescent="0.3">
      <c r="A18" s="2" t="s">
        <v>30</v>
      </c>
      <c r="D18">
        <v>74</v>
      </c>
      <c r="AH18">
        <f t="shared" si="0"/>
        <v>74</v>
      </c>
      <c r="AI18" s="2" t="s">
        <v>30</v>
      </c>
    </row>
    <row r="19" spans="1:35" x14ac:dyDescent="0.3">
      <c r="A19" s="2" t="s">
        <v>54</v>
      </c>
      <c r="E19" t="s">
        <v>52</v>
      </c>
      <c r="U19">
        <v>1070</v>
      </c>
      <c r="AH19">
        <f t="shared" si="0"/>
        <v>1070</v>
      </c>
      <c r="AI19" s="2" t="s">
        <v>11</v>
      </c>
    </row>
    <row r="20" spans="1:35" x14ac:dyDescent="0.3">
      <c r="A20" s="2" t="s">
        <v>4</v>
      </c>
      <c r="G20">
        <v>10</v>
      </c>
      <c r="H20" s="4">
        <v>10</v>
      </c>
      <c r="L20">
        <v>40</v>
      </c>
      <c r="O20">
        <v>25</v>
      </c>
      <c r="V20">
        <v>60</v>
      </c>
      <c r="AH20">
        <f t="shared" si="0"/>
        <v>145</v>
      </c>
      <c r="AI20" s="2" t="s">
        <v>4</v>
      </c>
    </row>
    <row r="21" spans="1:35" x14ac:dyDescent="0.3">
      <c r="Q21" s="6">
        <f>SUM(B2:AF20)</f>
        <v>16986.53</v>
      </c>
    </row>
    <row r="22" spans="1:35" x14ac:dyDescent="0.3">
      <c r="B22" s="1">
        <v>44958</v>
      </c>
      <c r="C22" s="1">
        <v>44959</v>
      </c>
      <c r="D22" s="1">
        <v>44960</v>
      </c>
      <c r="E22" s="1">
        <v>44961</v>
      </c>
      <c r="F22" s="1">
        <v>44962</v>
      </c>
      <c r="G22" s="1">
        <v>44963</v>
      </c>
      <c r="H22" s="1">
        <v>44964</v>
      </c>
      <c r="I22" s="1">
        <v>44965</v>
      </c>
      <c r="J22" s="1">
        <v>44966</v>
      </c>
      <c r="K22" s="1">
        <v>44967</v>
      </c>
      <c r="L22" s="1">
        <v>44968</v>
      </c>
      <c r="M22" s="1">
        <v>44969</v>
      </c>
      <c r="N22" s="1">
        <v>44970</v>
      </c>
      <c r="O22" s="1">
        <v>44971</v>
      </c>
      <c r="P22" s="1">
        <v>44972</v>
      </c>
      <c r="Q22" s="1">
        <v>44973</v>
      </c>
      <c r="R22" s="1">
        <v>44974</v>
      </c>
      <c r="S22" s="11">
        <v>44975</v>
      </c>
      <c r="T22" s="11">
        <v>44976</v>
      </c>
      <c r="U22" s="1">
        <v>44977</v>
      </c>
      <c r="V22" s="1">
        <v>44978</v>
      </c>
      <c r="W22" s="1">
        <v>44979</v>
      </c>
      <c r="X22" s="1">
        <v>44980</v>
      </c>
      <c r="Y22" s="1">
        <v>44981</v>
      </c>
      <c r="Z22" s="11">
        <v>44982</v>
      </c>
      <c r="AA22" s="11">
        <v>44983</v>
      </c>
      <c r="AB22" s="1">
        <v>44984</v>
      </c>
      <c r="AC22" s="1">
        <v>44985</v>
      </c>
    </row>
    <row r="23" spans="1:35" x14ac:dyDescent="0.3">
      <c r="A23" s="2" t="s">
        <v>5</v>
      </c>
      <c r="B23">
        <v>24</v>
      </c>
      <c r="C23">
        <v>23</v>
      </c>
      <c r="D23">
        <v>23</v>
      </c>
      <c r="E23">
        <v>24</v>
      </c>
      <c r="F23" s="4">
        <v>23</v>
      </c>
      <c r="G23">
        <v>23</v>
      </c>
      <c r="H23">
        <v>23</v>
      </c>
      <c r="I23">
        <v>23</v>
      </c>
      <c r="J23">
        <v>23</v>
      </c>
      <c r="K23" s="4">
        <v>46.52</v>
      </c>
      <c r="L23">
        <v>24</v>
      </c>
      <c r="M23">
        <v>23</v>
      </c>
      <c r="N23">
        <v>11</v>
      </c>
      <c r="O23">
        <v>24</v>
      </c>
      <c r="P23">
        <v>23</v>
      </c>
      <c r="Q23">
        <v>23</v>
      </c>
      <c r="R23">
        <v>23</v>
      </c>
      <c r="S23" s="4">
        <v>23</v>
      </c>
      <c r="T23">
        <v>24</v>
      </c>
      <c r="U23">
        <v>23</v>
      </c>
      <c r="V23" s="4">
        <v>23.52</v>
      </c>
      <c r="W23">
        <v>23</v>
      </c>
      <c r="X23" s="4">
        <v>23</v>
      </c>
      <c r="Y23">
        <v>22.5</v>
      </c>
      <c r="Z23" s="4">
        <v>24</v>
      </c>
      <c r="AA23">
        <v>22.5</v>
      </c>
      <c r="AB23" s="4">
        <v>24</v>
      </c>
      <c r="AC23">
        <v>23</v>
      </c>
      <c r="AH23">
        <f>SUM(B23:AC23)</f>
        <v>662.04</v>
      </c>
      <c r="AI23" s="2" t="s">
        <v>5</v>
      </c>
    </row>
    <row r="24" spans="1:35" x14ac:dyDescent="0.3">
      <c r="A24" t="s">
        <v>14</v>
      </c>
      <c r="E24">
        <v>5</v>
      </c>
      <c r="L24">
        <v>5</v>
      </c>
      <c r="S24">
        <v>5</v>
      </c>
      <c r="Z24">
        <v>5</v>
      </c>
      <c r="AH24">
        <f>SUM(B24:AC24)</f>
        <v>20</v>
      </c>
      <c r="AI24" t="s">
        <v>14</v>
      </c>
    </row>
    <row r="25" spans="1:35" x14ac:dyDescent="0.3">
      <c r="A25" s="2" t="s">
        <v>0</v>
      </c>
      <c r="E25" s="5">
        <v>200</v>
      </c>
      <c r="I25">
        <v>1000</v>
      </c>
      <c r="L25">
        <v>150</v>
      </c>
      <c r="Y25">
        <v>200</v>
      </c>
      <c r="AA25">
        <v>1000</v>
      </c>
      <c r="AB25" s="5">
        <v>200</v>
      </c>
      <c r="AH25">
        <f>SUM(B25:AC25)</f>
        <v>2750</v>
      </c>
      <c r="AI25" s="2" t="s">
        <v>0</v>
      </c>
    </row>
    <row r="26" spans="1:35" x14ac:dyDescent="0.3">
      <c r="A26" s="2" t="s">
        <v>16</v>
      </c>
      <c r="D26">
        <v>10</v>
      </c>
      <c r="E26">
        <v>60</v>
      </c>
      <c r="F26">
        <v>470</v>
      </c>
      <c r="K26">
        <v>10</v>
      </c>
      <c r="N26">
        <v>55</v>
      </c>
      <c r="R26">
        <v>14</v>
      </c>
      <c r="S26">
        <v>25</v>
      </c>
      <c r="X26">
        <v>80</v>
      </c>
      <c r="AA26">
        <v>409</v>
      </c>
      <c r="AH26">
        <f t="shared" ref="AH26:AH38" si="1">SUM(B26:AC26)</f>
        <v>1133</v>
      </c>
      <c r="AI26" s="2" t="s">
        <v>16</v>
      </c>
    </row>
    <row r="27" spans="1:35" x14ac:dyDescent="0.3">
      <c r="A27" s="2" t="s">
        <v>34</v>
      </c>
      <c r="E27">
        <v>99</v>
      </c>
      <c r="T27">
        <v>190</v>
      </c>
      <c r="AH27">
        <f t="shared" si="1"/>
        <v>289</v>
      </c>
      <c r="AI27" s="2" t="s">
        <v>34</v>
      </c>
    </row>
    <row r="28" spans="1:35" x14ac:dyDescent="0.3">
      <c r="A28" s="2" t="s">
        <v>18</v>
      </c>
      <c r="E28">
        <v>241</v>
      </c>
      <c r="F28" s="4">
        <v>1088.18</v>
      </c>
      <c r="G28" s="4"/>
      <c r="J28">
        <v>19</v>
      </c>
      <c r="L28">
        <v>1780</v>
      </c>
      <c r="Q28" s="4">
        <v>156.44999999999999</v>
      </c>
      <c r="V28">
        <v>90</v>
      </c>
      <c r="AA28">
        <v>62.51</v>
      </c>
      <c r="AH28">
        <f t="shared" si="1"/>
        <v>3437.1400000000003</v>
      </c>
      <c r="AI28" s="2" t="s">
        <v>18</v>
      </c>
    </row>
    <row r="29" spans="1:35" x14ac:dyDescent="0.3">
      <c r="A29" s="2" t="s">
        <v>2</v>
      </c>
      <c r="E29">
        <v>60</v>
      </c>
      <c r="F29" s="4">
        <v>56.24</v>
      </c>
      <c r="G29">
        <v>39</v>
      </c>
      <c r="I29">
        <v>14</v>
      </c>
      <c r="J29">
        <v>15</v>
      </c>
      <c r="K29" s="4">
        <v>90.73</v>
      </c>
      <c r="L29">
        <v>60</v>
      </c>
      <c r="P29">
        <v>53</v>
      </c>
      <c r="Q29" s="4">
        <v>89.64</v>
      </c>
      <c r="R29">
        <v>16</v>
      </c>
      <c r="T29">
        <v>80</v>
      </c>
      <c r="U29">
        <v>30</v>
      </c>
      <c r="V29" s="4">
        <v>115.33</v>
      </c>
      <c r="Y29">
        <v>77.72</v>
      </c>
      <c r="AA29">
        <v>104.56</v>
      </c>
      <c r="AB29">
        <v>60</v>
      </c>
      <c r="AH29">
        <f t="shared" si="1"/>
        <v>961.22</v>
      </c>
      <c r="AI29" s="2" t="s">
        <v>2</v>
      </c>
    </row>
    <row r="30" spans="1:35" x14ac:dyDescent="0.3">
      <c r="A30" s="2" t="s">
        <v>19</v>
      </c>
      <c r="D30">
        <v>40</v>
      </c>
      <c r="F30" s="4">
        <v>244.4</v>
      </c>
      <c r="K30" s="4">
        <v>40</v>
      </c>
      <c r="M30">
        <v>47</v>
      </c>
      <c r="P30">
        <v>55</v>
      </c>
      <c r="Y30">
        <v>272</v>
      </c>
      <c r="AA30">
        <v>40</v>
      </c>
      <c r="AH30">
        <f t="shared" si="1"/>
        <v>738.4</v>
      </c>
      <c r="AI30" s="2" t="s">
        <v>19</v>
      </c>
    </row>
    <row r="31" spans="1:35" x14ac:dyDescent="0.3">
      <c r="A31" s="2" t="s">
        <v>7</v>
      </c>
      <c r="D31">
        <v>30</v>
      </c>
      <c r="F31">
        <v>50</v>
      </c>
      <c r="R31">
        <v>30</v>
      </c>
      <c r="T31">
        <v>40</v>
      </c>
      <c r="U31">
        <v>20</v>
      </c>
      <c r="AB31">
        <v>20</v>
      </c>
      <c r="AH31">
        <f t="shared" si="1"/>
        <v>190</v>
      </c>
      <c r="AI31" s="2" t="s">
        <v>7</v>
      </c>
    </row>
    <row r="32" spans="1:35" x14ac:dyDescent="0.3">
      <c r="A32" s="2" t="s">
        <v>15</v>
      </c>
      <c r="K32">
        <v>283</v>
      </c>
      <c r="L32">
        <v>448</v>
      </c>
      <c r="M32">
        <v>348</v>
      </c>
      <c r="N32">
        <v>283</v>
      </c>
      <c r="O32">
        <v>171</v>
      </c>
      <c r="AH32">
        <f t="shared" si="1"/>
        <v>1533</v>
      </c>
      <c r="AI32" s="2" t="s">
        <v>15</v>
      </c>
    </row>
    <row r="33" spans="1:37" x14ac:dyDescent="0.3">
      <c r="A33" s="2" t="s">
        <v>13</v>
      </c>
      <c r="I33">
        <v>200</v>
      </c>
      <c r="P33" s="1"/>
      <c r="AH33">
        <f t="shared" si="1"/>
        <v>200</v>
      </c>
      <c r="AI33" s="2" t="s">
        <v>13</v>
      </c>
    </row>
    <row r="34" spans="1:37" x14ac:dyDescent="0.3">
      <c r="A34" s="2" t="s">
        <v>17</v>
      </c>
      <c r="O34">
        <v>1179</v>
      </c>
      <c r="AH34">
        <f t="shared" si="1"/>
        <v>1179</v>
      </c>
      <c r="AI34" s="2" t="s">
        <v>17</v>
      </c>
    </row>
    <row r="35" spans="1:37" x14ac:dyDescent="0.3">
      <c r="A35" s="2" t="s">
        <v>20</v>
      </c>
      <c r="J35">
        <v>20</v>
      </c>
      <c r="L35">
        <v>5</v>
      </c>
      <c r="M35">
        <v>600</v>
      </c>
      <c r="N35">
        <v>107</v>
      </c>
      <c r="P35">
        <v>25</v>
      </c>
      <c r="R35">
        <v>180</v>
      </c>
      <c r="S35">
        <v>14</v>
      </c>
      <c r="T35">
        <v>530</v>
      </c>
      <c r="V35">
        <v>195</v>
      </c>
      <c r="X35">
        <v>149</v>
      </c>
      <c r="AB35">
        <v>10</v>
      </c>
      <c r="AC35">
        <v>102</v>
      </c>
      <c r="AH35">
        <f t="shared" si="1"/>
        <v>1937</v>
      </c>
      <c r="AI35" s="2" t="s">
        <v>20</v>
      </c>
    </row>
    <row r="36" spans="1:37" x14ac:dyDescent="0.3">
      <c r="A36" s="2" t="s">
        <v>12</v>
      </c>
      <c r="E36">
        <v>399</v>
      </c>
      <c r="I36">
        <v>3</v>
      </c>
      <c r="J36">
        <v>50</v>
      </c>
      <c r="M36">
        <v>298</v>
      </c>
      <c r="N36">
        <v>12</v>
      </c>
      <c r="O36">
        <v>12</v>
      </c>
      <c r="P36">
        <v>600</v>
      </c>
      <c r="S36">
        <v>40</v>
      </c>
      <c r="T36">
        <v>35</v>
      </c>
      <c r="AC36">
        <v>250</v>
      </c>
      <c r="AH36">
        <f t="shared" si="1"/>
        <v>1699</v>
      </c>
      <c r="AI36" s="2" t="s">
        <v>12</v>
      </c>
    </row>
    <row r="37" spans="1:37" x14ac:dyDescent="0.3">
      <c r="A37" s="2" t="s">
        <v>30</v>
      </c>
      <c r="Q37">
        <v>90</v>
      </c>
      <c r="S37">
        <v>5</v>
      </c>
      <c r="AH37">
        <f t="shared" si="1"/>
        <v>95</v>
      </c>
      <c r="AI37" s="2" t="s">
        <v>30</v>
      </c>
    </row>
    <row r="38" spans="1:37" x14ac:dyDescent="0.3">
      <c r="A38" s="2" t="s">
        <v>4</v>
      </c>
      <c r="B38">
        <v>10</v>
      </c>
      <c r="F38">
        <v>750</v>
      </c>
      <c r="Z38" s="5">
        <v>-70</v>
      </c>
      <c r="AB38">
        <v>50</v>
      </c>
      <c r="AH38">
        <f t="shared" si="1"/>
        <v>740</v>
      </c>
      <c r="AI38" s="2" t="s">
        <v>4</v>
      </c>
    </row>
    <row r="39" spans="1:37" x14ac:dyDescent="0.3">
      <c r="Q39" s="6">
        <f>SUM(B23:AC38)</f>
        <v>17563.799999999996</v>
      </c>
      <c r="AK39">
        <f>SUM(Q21,Q39)</f>
        <v>34550.329999999994</v>
      </c>
    </row>
    <row r="40" spans="1:37" x14ac:dyDescent="0.3">
      <c r="B40" s="1">
        <v>44986</v>
      </c>
      <c r="C40" s="1">
        <v>44987</v>
      </c>
      <c r="D40" s="1">
        <v>44988</v>
      </c>
      <c r="E40" s="1">
        <v>44989</v>
      </c>
      <c r="F40" s="1">
        <v>44990</v>
      </c>
      <c r="G40" s="1">
        <v>44991</v>
      </c>
      <c r="H40" s="1">
        <v>44992</v>
      </c>
      <c r="I40" s="1">
        <v>44993</v>
      </c>
      <c r="J40" s="1">
        <v>44994</v>
      </c>
      <c r="K40" s="1">
        <v>44995</v>
      </c>
      <c r="L40" s="1">
        <v>44996</v>
      </c>
      <c r="M40" s="1">
        <v>44997</v>
      </c>
      <c r="N40" s="1">
        <v>44998</v>
      </c>
      <c r="O40" s="1">
        <v>44999</v>
      </c>
      <c r="P40" s="1">
        <v>45000</v>
      </c>
      <c r="Q40" s="1">
        <v>45001</v>
      </c>
      <c r="R40" s="1">
        <v>45002</v>
      </c>
      <c r="S40" s="1">
        <v>45003</v>
      </c>
      <c r="T40" s="1">
        <v>45004</v>
      </c>
      <c r="U40" s="1">
        <v>45005</v>
      </c>
      <c r="V40" s="1">
        <v>45006</v>
      </c>
      <c r="W40" s="1">
        <v>45007</v>
      </c>
      <c r="X40" s="1">
        <v>45008</v>
      </c>
      <c r="Y40" s="1">
        <v>45009</v>
      </c>
      <c r="Z40" s="1">
        <v>45010</v>
      </c>
      <c r="AA40" s="1">
        <v>45011</v>
      </c>
      <c r="AB40" s="1">
        <v>45012</v>
      </c>
      <c r="AC40" s="1">
        <v>45013</v>
      </c>
      <c r="AD40" s="1">
        <v>45014</v>
      </c>
      <c r="AE40" s="1">
        <v>45015</v>
      </c>
      <c r="AF40" s="1">
        <v>45016</v>
      </c>
    </row>
    <row r="41" spans="1:37" x14ac:dyDescent="0.3">
      <c r="A41" s="2" t="s">
        <v>5</v>
      </c>
      <c r="B41" s="4">
        <v>23</v>
      </c>
      <c r="C41">
        <v>23</v>
      </c>
      <c r="D41">
        <v>23</v>
      </c>
      <c r="E41">
        <v>23</v>
      </c>
      <c r="F41" s="4">
        <v>22.5</v>
      </c>
      <c r="G41" s="4">
        <v>23</v>
      </c>
      <c r="H41">
        <v>34</v>
      </c>
      <c r="I41">
        <v>0</v>
      </c>
      <c r="J41">
        <v>23</v>
      </c>
      <c r="K41">
        <v>23</v>
      </c>
      <c r="L41">
        <v>23</v>
      </c>
      <c r="M41" s="4">
        <v>23</v>
      </c>
      <c r="N41">
        <v>23</v>
      </c>
      <c r="O41">
        <v>23</v>
      </c>
      <c r="P41">
        <v>47</v>
      </c>
      <c r="Q41">
        <v>23</v>
      </c>
      <c r="R41" s="4">
        <v>23</v>
      </c>
      <c r="S41">
        <v>23</v>
      </c>
      <c r="T41">
        <v>0</v>
      </c>
      <c r="U41" s="4">
        <v>23</v>
      </c>
      <c r="V41" s="4">
        <v>23</v>
      </c>
      <c r="W41">
        <v>23</v>
      </c>
      <c r="X41">
        <v>23</v>
      </c>
      <c r="Y41">
        <v>11</v>
      </c>
      <c r="Z41">
        <v>23</v>
      </c>
      <c r="AA41">
        <v>23</v>
      </c>
      <c r="AB41">
        <v>35</v>
      </c>
      <c r="AC41">
        <v>23</v>
      </c>
      <c r="AD41">
        <v>22</v>
      </c>
      <c r="AE41">
        <v>34</v>
      </c>
      <c r="AF41">
        <v>23</v>
      </c>
      <c r="AH41">
        <f>SUM(B41:AF41)</f>
        <v>711.5</v>
      </c>
      <c r="AI41" s="2" t="s">
        <v>5</v>
      </c>
    </row>
    <row r="42" spans="1:37" x14ac:dyDescent="0.3">
      <c r="A42" t="s">
        <v>14</v>
      </c>
      <c r="D42">
        <v>5</v>
      </c>
      <c r="L42">
        <v>5</v>
      </c>
      <c r="S42">
        <v>5</v>
      </c>
      <c r="Z42">
        <v>5</v>
      </c>
      <c r="AH42">
        <f>SUM(B42:AF42)</f>
        <v>20</v>
      </c>
      <c r="AI42" t="s">
        <v>14</v>
      </c>
    </row>
    <row r="43" spans="1:37" x14ac:dyDescent="0.3">
      <c r="A43" s="2" t="s">
        <v>0</v>
      </c>
      <c r="T43">
        <v>10</v>
      </c>
      <c r="U43">
        <v>100</v>
      </c>
      <c r="V43">
        <v>200</v>
      </c>
      <c r="AH43">
        <f t="shared" ref="AH43:AH59" si="2">SUM(B43:AF43)</f>
        <v>310</v>
      </c>
      <c r="AI43" s="2" t="s">
        <v>0</v>
      </c>
    </row>
    <row r="44" spans="1:37" x14ac:dyDescent="0.3">
      <c r="A44" s="2" t="s">
        <v>16</v>
      </c>
      <c r="B44">
        <v>14</v>
      </c>
      <c r="F44" s="4">
        <v>63</v>
      </c>
      <c r="H44">
        <v>18</v>
      </c>
      <c r="J44">
        <v>10</v>
      </c>
      <c r="K44">
        <v>45</v>
      </c>
      <c r="M44">
        <v>250</v>
      </c>
      <c r="O44" s="4">
        <v>13.8</v>
      </c>
      <c r="R44">
        <v>10</v>
      </c>
      <c r="T44">
        <v>190</v>
      </c>
      <c r="U44" s="4">
        <v>71.89</v>
      </c>
      <c r="V44">
        <v>30</v>
      </c>
      <c r="X44">
        <v>10</v>
      </c>
      <c r="Z44">
        <v>10</v>
      </c>
      <c r="AB44">
        <v>90</v>
      </c>
      <c r="AD44">
        <v>15</v>
      </c>
      <c r="AH44">
        <f t="shared" si="2"/>
        <v>840.68999999999994</v>
      </c>
      <c r="AI44" s="2" t="s">
        <v>16</v>
      </c>
    </row>
    <row r="45" spans="1:37" x14ac:dyDescent="0.3">
      <c r="A45" s="2" t="s">
        <v>34</v>
      </c>
      <c r="E45">
        <v>200</v>
      </c>
      <c r="AH45">
        <f t="shared" si="2"/>
        <v>200</v>
      </c>
      <c r="AI45" s="2" t="s">
        <v>34</v>
      </c>
    </row>
    <row r="46" spans="1:37" x14ac:dyDescent="0.3">
      <c r="A46" s="2" t="s">
        <v>18</v>
      </c>
      <c r="C46">
        <v>451.69</v>
      </c>
      <c r="D46">
        <v>820</v>
      </c>
      <c r="F46" s="4">
        <v>757.87</v>
      </c>
      <c r="I46">
        <v>1263</v>
      </c>
      <c r="J46">
        <v>20</v>
      </c>
      <c r="M46">
        <v>70</v>
      </c>
      <c r="N46">
        <v>106.32</v>
      </c>
      <c r="O46" s="4">
        <v>91.34</v>
      </c>
      <c r="R46" s="4">
        <v>112.5</v>
      </c>
      <c r="T46">
        <v>190</v>
      </c>
      <c r="U46" s="4">
        <v>175.7</v>
      </c>
      <c r="AD46">
        <v>67</v>
      </c>
      <c r="AH46">
        <f t="shared" si="2"/>
        <v>4125.42</v>
      </c>
      <c r="AI46" s="2" t="s">
        <v>18</v>
      </c>
    </row>
    <row r="47" spans="1:37" x14ac:dyDescent="0.3">
      <c r="A47" s="2" t="s">
        <v>2</v>
      </c>
      <c r="B47">
        <v>20</v>
      </c>
      <c r="E47">
        <v>146</v>
      </c>
      <c r="G47">
        <v>22</v>
      </c>
      <c r="H47">
        <v>60</v>
      </c>
      <c r="K47">
        <v>50</v>
      </c>
      <c r="M47">
        <v>66</v>
      </c>
      <c r="Q47">
        <v>10</v>
      </c>
      <c r="R47" s="4">
        <v>155</v>
      </c>
      <c r="U47" s="4">
        <v>145.69999999999999</v>
      </c>
      <c r="V47">
        <v>64</v>
      </c>
      <c r="Z47">
        <v>123</v>
      </c>
      <c r="AB47">
        <v>16</v>
      </c>
      <c r="AC47">
        <v>80</v>
      </c>
      <c r="AD47">
        <v>20</v>
      </c>
      <c r="AE47">
        <v>28</v>
      </c>
      <c r="AH47">
        <f t="shared" si="2"/>
        <v>1005.7</v>
      </c>
      <c r="AI47" s="2" t="s">
        <v>2</v>
      </c>
    </row>
    <row r="48" spans="1:37" x14ac:dyDescent="0.3">
      <c r="A48" s="2" t="s">
        <v>19</v>
      </c>
      <c r="E48">
        <v>28</v>
      </c>
      <c r="F48" s="4">
        <v>52.76</v>
      </c>
      <c r="H48" s="4">
        <v>46.8</v>
      </c>
      <c r="O48" s="4">
        <v>9.4</v>
      </c>
      <c r="P48">
        <v>45</v>
      </c>
      <c r="Q48">
        <v>25</v>
      </c>
      <c r="R48" s="4">
        <v>116</v>
      </c>
      <c r="S48">
        <v>20</v>
      </c>
      <c r="T48">
        <v>60</v>
      </c>
      <c r="U48" s="4">
        <v>49</v>
      </c>
      <c r="AA48">
        <v>115</v>
      </c>
      <c r="AD48">
        <v>30</v>
      </c>
      <c r="AF48">
        <v>320</v>
      </c>
      <c r="AH48">
        <f t="shared" si="2"/>
        <v>916.96</v>
      </c>
      <c r="AI48" s="2" t="s">
        <v>19</v>
      </c>
    </row>
    <row r="49" spans="1:37" x14ac:dyDescent="0.3">
      <c r="A49" s="2" t="s">
        <v>7</v>
      </c>
      <c r="C49">
        <v>10</v>
      </c>
      <c r="J49">
        <v>30</v>
      </c>
      <c r="M49">
        <v>30</v>
      </c>
      <c r="Q49">
        <v>10</v>
      </c>
      <c r="T49">
        <v>40</v>
      </c>
      <c r="AC49">
        <v>50</v>
      </c>
      <c r="AH49">
        <f t="shared" si="2"/>
        <v>170</v>
      </c>
      <c r="AI49" s="2" t="s">
        <v>7</v>
      </c>
    </row>
    <row r="50" spans="1:37" x14ac:dyDescent="0.3">
      <c r="A50" s="2" t="s">
        <v>15</v>
      </c>
      <c r="K50">
        <v>274</v>
      </c>
      <c r="L50">
        <v>274</v>
      </c>
      <c r="M50">
        <v>396</v>
      </c>
      <c r="N50">
        <v>391</v>
      </c>
      <c r="O50">
        <v>171</v>
      </c>
      <c r="AH50">
        <f t="shared" si="2"/>
        <v>1506</v>
      </c>
      <c r="AI50" s="2" t="s">
        <v>15</v>
      </c>
    </row>
    <row r="51" spans="1:37" x14ac:dyDescent="0.3">
      <c r="A51" s="2" t="s">
        <v>13</v>
      </c>
      <c r="K51">
        <v>200</v>
      </c>
      <c r="AH51">
        <f t="shared" si="2"/>
        <v>200</v>
      </c>
      <c r="AI51" s="2" t="s">
        <v>13</v>
      </c>
    </row>
    <row r="52" spans="1:37" x14ac:dyDescent="0.3">
      <c r="A52" s="2" t="s">
        <v>55</v>
      </c>
      <c r="P52">
        <v>1120</v>
      </c>
      <c r="AH52">
        <f t="shared" si="2"/>
        <v>1120</v>
      </c>
      <c r="AI52" s="2" t="s">
        <v>55</v>
      </c>
    </row>
    <row r="53" spans="1:37" x14ac:dyDescent="0.3">
      <c r="A53" s="2" t="s">
        <v>17</v>
      </c>
      <c r="N53">
        <v>299</v>
      </c>
      <c r="Z53">
        <v>3537</v>
      </c>
      <c r="AH53">
        <f t="shared" si="2"/>
        <v>3836</v>
      </c>
      <c r="AI53" s="2" t="s">
        <v>17</v>
      </c>
    </row>
    <row r="54" spans="1:37" x14ac:dyDescent="0.3">
      <c r="A54" s="2" t="s">
        <v>20</v>
      </c>
      <c r="D54">
        <v>149</v>
      </c>
      <c r="F54">
        <v>190</v>
      </c>
      <c r="M54">
        <v>50</v>
      </c>
      <c r="AH54">
        <f t="shared" si="2"/>
        <v>389</v>
      </c>
      <c r="AI54" s="2" t="s">
        <v>20</v>
      </c>
    </row>
    <row r="55" spans="1:37" x14ac:dyDescent="0.3">
      <c r="A55" s="2" t="s">
        <v>12</v>
      </c>
      <c r="G55">
        <v>20</v>
      </c>
      <c r="I55">
        <v>30</v>
      </c>
      <c r="U55">
        <v>6</v>
      </c>
      <c r="X55">
        <v>18</v>
      </c>
      <c r="AF55">
        <v>2</v>
      </c>
      <c r="AH55">
        <f t="shared" si="2"/>
        <v>76</v>
      </c>
      <c r="AI55" s="2" t="s">
        <v>12</v>
      </c>
    </row>
    <row r="56" spans="1:37" x14ac:dyDescent="0.3">
      <c r="A56" s="2" t="s">
        <v>53</v>
      </c>
      <c r="V56">
        <v>30</v>
      </c>
      <c r="W56">
        <v>15</v>
      </c>
      <c r="AH56">
        <f>SUM(B56:AF56)</f>
        <v>45</v>
      </c>
      <c r="AI56" s="2" t="s">
        <v>53</v>
      </c>
    </row>
    <row r="57" spans="1:37" x14ac:dyDescent="0.3">
      <c r="A57" s="2" t="s">
        <v>23</v>
      </c>
      <c r="T57">
        <v>50</v>
      </c>
      <c r="AH57">
        <f t="shared" si="2"/>
        <v>50</v>
      </c>
      <c r="AI57" s="2" t="s">
        <v>23</v>
      </c>
    </row>
    <row r="58" spans="1:37" x14ac:dyDescent="0.3">
      <c r="A58" s="2" t="s">
        <v>30</v>
      </c>
      <c r="T58">
        <v>270</v>
      </c>
      <c r="W58">
        <v>20</v>
      </c>
      <c r="AH58">
        <f t="shared" si="2"/>
        <v>290</v>
      </c>
      <c r="AI58" s="2" t="s">
        <v>30</v>
      </c>
    </row>
    <row r="59" spans="1:37" x14ac:dyDescent="0.3">
      <c r="A59" s="2" t="s">
        <v>4</v>
      </c>
      <c r="E59">
        <v>35</v>
      </c>
      <c r="F59">
        <v>110</v>
      </c>
      <c r="M59">
        <v>200</v>
      </c>
      <c r="AH59">
        <f t="shared" si="2"/>
        <v>345</v>
      </c>
      <c r="AI59" s="2" t="s">
        <v>4</v>
      </c>
    </row>
    <row r="60" spans="1:37" x14ac:dyDescent="0.3">
      <c r="Q60" s="6">
        <f>SUM(B41:AF59)</f>
        <v>16157.27</v>
      </c>
      <c r="AK60">
        <f>SUM(AK39,Q60)</f>
        <v>50707.599999999991</v>
      </c>
    </row>
    <row r="61" spans="1:37" x14ac:dyDescent="0.3">
      <c r="A61" s="2"/>
      <c r="B61" s="1">
        <v>45017</v>
      </c>
      <c r="C61" s="1">
        <v>45018</v>
      </c>
      <c r="D61" s="1">
        <v>45019</v>
      </c>
      <c r="E61" s="1">
        <v>45020</v>
      </c>
      <c r="F61" s="1">
        <v>45021</v>
      </c>
      <c r="G61" s="1">
        <v>45022</v>
      </c>
      <c r="H61" s="1">
        <v>45023</v>
      </c>
      <c r="I61" s="1">
        <v>45024</v>
      </c>
      <c r="J61" s="1">
        <v>45025</v>
      </c>
      <c r="K61" s="1">
        <v>45026</v>
      </c>
      <c r="L61" s="1">
        <v>45027</v>
      </c>
      <c r="M61" s="1">
        <v>45028</v>
      </c>
      <c r="N61" s="1">
        <v>45029</v>
      </c>
      <c r="O61" s="1">
        <v>45030</v>
      </c>
      <c r="P61" s="1">
        <v>45031</v>
      </c>
      <c r="Q61" s="1">
        <v>45032</v>
      </c>
      <c r="R61" s="1">
        <v>45033</v>
      </c>
      <c r="S61" s="1">
        <v>45034</v>
      </c>
      <c r="T61" s="1">
        <v>45035</v>
      </c>
      <c r="U61" s="1">
        <v>45036</v>
      </c>
      <c r="V61" s="1">
        <v>45037</v>
      </c>
      <c r="W61" s="1">
        <v>45038</v>
      </c>
      <c r="X61" s="1">
        <v>45039</v>
      </c>
      <c r="Y61" s="1">
        <v>45040</v>
      </c>
      <c r="Z61" s="1">
        <v>45041</v>
      </c>
      <c r="AA61" s="1">
        <v>45042</v>
      </c>
      <c r="AB61" s="1">
        <v>45043</v>
      </c>
      <c r="AC61" s="1">
        <v>45044</v>
      </c>
      <c r="AD61" s="1">
        <v>45045</v>
      </c>
      <c r="AE61" s="1">
        <v>45046</v>
      </c>
    </row>
    <row r="62" spans="1:37" x14ac:dyDescent="0.3">
      <c r="A62" s="2" t="s">
        <v>5</v>
      </c>
      <c r="B62">
        <v>0</v>
      </c>
      <c r="C62">
        <v>23</v>
      </c>
      <c r="D62">
        <v>23</v>
      </c>
      <c r="E62">
        <v>0</v>
      </c>
      <c r="F62">
        <v>22</v>
      </c>
      <c r="G62">
        <v>0</v>
      </c>
      <c r="H62">
        <v>0</v>
      </c>
      <c r="I62">
        <v>23</v>
      </c>
      <c r="J62">
        <v>23</v>
      </c>
      <c r="K62">
        <v>23</v>
      </c>
      <c r="L62">
        <v>23</v>
      </c>
      <c r="M62">
        <v>11</v>
      </c>
      <c r="N62">
        <v>23</v>
      </c>
      <c r="O62" s="4">
        <v>23</v>
      </c>
      <c r="P62" s="4">
        <v>23</v>
      </c>
      <c r="Q62" s="4">
        <v>23</v>
      </c>
      <c r="R62" s="4">
        <v>23</v>
      </c>
      <c r="S62" s="4">
        <v>23</v>
      </c>
      <c r="T62" s="4">
        <v>34</v>
      </c>
      <c r="U62" s="4">
        <v>24</v>
      </c>
      <c r="V62" s="4">
        <v>23</v>
      </c>
      <c r="W62" s="4">
        <v>23</v>
      </c>
      <c r="X62">
        <v>25</v>
      </c>
      <c r="Y62">
        <v>24</v>
      </c>
      <c r="Z62" s="4">
        <v>23</v>
      </c>
      <c r="AA62" s="4">
        <v>23</v>
      </c>
      <c r="AB62" s="4">
        <v>23</v>
      </c>
      <c r="AC62" s="4">
        <v>34</v>
      </c>
      <c r="AD62" s="4">
        <v>23</v>
      </c>
      <c r="AH62">
        <f t="shared" ref="AH62:AH78" si="3">SUM(B62:AE62)</f>
        <v>588</v>
      </c>
      <c r="AI62" s="2" t="s">
        <v>5</v>
      </c>
    </row>
    <row r="63" spans="1:37" x14ac:dyDescent="0.3">
      <c r="A63" t="s">
        <v>14</v>
      </c>
      <c r="B63">
        <v>5</v>
      </c>
      <c r="I63">
        <v>5</v>
      </c>
      <c r="P63">
        <v>5</v>
      </c>
      <c r="V63">
        <v>5</v>
      </c>
      <c r="W63">
        <v>5</v>
      </c>
      <c r="AD63">
        <v>5</v>
      </c>
      <c r="AH63">
        <f t="shared" si="3"/>
        <v>30</v>
      </c>
      <c r="AI63" t="s">
        <v>14</v>
      </c>
    </row>
    <row r="64" spans="1:37" x14ac:dyDescent="0.3">
      <c r="A64" s="2" t="s">
        <v>0</v>
      </c>
      <c r="F64">
        <v>1000</v>
      </c>
      <c r="I64" s="5">
        <v>200</v>
      </c>
      <c r="L64">
        <v>150</v>
      </c>
      <c r="X64">
        <v>1700</v>
      </c>
      <c r="AE64">
        <v>1510</v>
      </c>
      <c r="AH64">
        <f t="shared" si="3"/>
        <v>4560</v>
      </c>
      <c r="AI64" s="2" t="s">
        <v>0</v>
      </c>
    </row>
    <row r="65" spans="1:37" x14ac:dyDescent="0.3">
      <c r="A65" s="2" t="s">
        <v>16</v>
      </c>
      <c r="C65">
        <v>150</v>
      </c>
      <c r="E65">
        <v>10</v>
      </c>
      <c r="J65">
        <v>100</v>
      </c>
      <c r="L65">
        <v>28</v>
      </c>
      <c r="M65">
        <v>10</v>
      </c>
      <c r="N65">
        <v>57</v>
      </c>
      <c r="O65">
        <v>30</v>
      </c>
      <c r="P65" s="4">
        <v>70.099999999999994</v>
      </c>
      <c r="Q65">
        <v>271</v>
      </c>
      <c r="T65">
        <v>10</v>
      </c>
      <c r="AA65">
        <v>10</v>
      </c>
      <c r="AB65">
        <v>15</v>
      </c>
      <c r="AC65" s="4">
        <v>51.18</v>
      </c>
      <c r="AH65">
        <f t="shared" si="3"/>
        <v>812.28</v>
      </c>
      <c r="AI65" s="2" t="s">
        <v>16</v>
      </c>
    </row>
    <row r="66" spans="1:37" x14ac:dyDescent="0.3">
      <c r="A66" s="2" t="s">
        <v>34</v>
      </c>
      <c r="C66">
        <v>10</v>
      </c>
      <c r="O66" s="4">
        <v>122.42</v>
      </c>
      <c r="AH66">
        <f t="shared" si="3"/>
        <v>132.42000000000002</v>
      </c>
      <c r="AI66" s="2" t="s">
        <v>34</v>
      </c>
    </row>
    <row r="67" spans="1:37" x14ac:dyDescent="0.3">
      <c r="A67" s="2" t="s">
        <v>18</v>
      </c>
      <c r="E67">
        <v>1155</v>
      </c>
      <c r="F67">
        <v>47</v>
      </c>
      <c r="H67">
        <v>45</v>
      </c>
      <c r="I67">
        <v>305</v>
      </c>
      <c r="J67">
        <v>72</v>
      </c>
      <c r="L67">
        <v>1232.46</v>
      </c>
      <c r="O67" s="4">
        <v>15</v>
      </c>
      <c r="P67" s="4">
        <v>503.88</v>
      </c>
      <c r="Q67">
        <v>825</v>
      </c>
      <c r="R67" s="4">
        <v>125</v>
      </c>
      <c r="W67">
        <v>150</v>
      </c>
      <c r="AC67">
        <v>80</v>
      </c>
      <c r="AH67">
        <f t="shared" si="3"/>
        <v>4555.34</v>
      </c>
      <c r="AI67" s="2" t="s">
        <v>18</v>
      </c>
    </row>
    <row r="68" spans="1:37" x14ac:dyDescent="0.3">
      <c r="A68" s="2" t="s">
        <v>2</v>
      </c>
      <c r="B68">
        <v>22</v>
      </c>
      <c r="C68">
        <v>130</v>
      </c>
      <c r="F68">
        <v>85</v>
      </c>
      <c r="J68">
        <v>60</v>
      </c>
      <c r="L68">
        <v>120.42</v>
      </c>
      <c r="N68">
        <v>35</v>
      </c>
      <c r="P68" s="4">
        <v>125</v>
      </c>
      <c r="R68" s="4">
        <v>147.06</v>
      </c>
      <c r="T68">
        <v>148</v>
      </c>
      <c r="U68" s="4">
        <v>105</v>
      </c>
      <c r="X68">
        <v>70</v>
      </c>
      <c r="AB68">
        <v>24</v>
      </c>
      <c r="AD68">
        <v>35</v>
      </c>
      <c r="AH68">
        <f t="shared" si="3"/>
        <v>1106.48</v>
      </c>
      <c r="AI68" s="2" t="s">
        <v>2</v>
      </c>
    </row>
    <row r="69" spans="1:37" x14ac:dyDescent="0.3">
      <c r="A69" s="2" t="s">
        <v>19</v>
      </c>
      <c r="G69">
        <v>30</v>
      </c>
      <c r="J69">
        <v>120</v>
      </c>
      <c r="K69">
        <v>38</v>
      </c>
      <c r="Q69" s="4">
        <v>19</v>
      </c>
      <c r="R69" s="4">
        <v>34</v>
      </c>
      <c r="U69">
        <v>40</v>
      </c>
      <c r="V69">
        <v>18</v>
      </c>
      <c r="X69">
        <v>195</v>
      </c>
      <c r="AB69">
        <v>160</v>
      </c>
      <c r="AE69">
        <v>404</v>
      </c>
      <c r="AH69">
        <f t="shared" si="3"/>
        <v>1058</v>
      </c>
      <c r="AI69" s="2" t="s">
        <v>19</v>
      </c>
    </row>
    <row r="70" spans="1:37" x14ac:dyDescent="0.3">
      <c r="A70" s="2" t="s">
        <v>7</v>
      </c>
      <c r="C70">
        <v>40</v>
      </c>
      <c r="Q70">
        <v>40</v>
      </c>
      <c r="AH70">
        <f t="shared" si="3"/>
        <v>80</v>
      </c>
      <c r="AI70" s="2" t="s">
        <v>7</v>
      </c>
    </row>
    <row r="71" spans="1:37" x14ac:dyDescent="0.3">
      <c r="A71" s="2" t="s">
        <v>15</v>
      </c>
      <c r="I71">
        <v>306</v>
      </c>
      <c r="J71">
        <v>153</v>
      </c>
      <c r="K71">
        <v>283</v>
      </c>
      <c r="L71">
        <v>435</v>
      </c>
      <c r="M71">
        <v>379</v>
      </c>
      <c r="AH71">
        <f t="shared" si="3"/>
        <v>1556</v>
      </c>
      <c r="AI71" s="2" t="s">
        <v>15</v>
      </c>
    </row>
    <row r="72" spans="1:37" x14ac:dyDescent="0.3">
      <c r="A72" s="2" t="s">
        <v>13</v>
      </c>
      <c r="I72">
        <v>200</v>
      </c>
      <c r="AH72">
        <f t="shared" si="3"/>
        <v>200</v>
      </c>
      <c r="AI72" s="2" t="s">
        <v>13</v>
      </c>
    </row>
    <row r="73" spans="1:37" x14ac:dyDescent="0.3">
      <c r="A73" s="2" t="s">
        <v>23</v>
      </c>
      <c r="X73">
        <v>450</v>
      </c>
      <c r="AE73">
        <v>10</v>
      </c>
      <c r="AH73">
        <f t="shared" si="3"/>
        <v>460</v>
      </c>
      <c r="AI73" s="2" t="s">
        <v>23</v>
      </c>
    </row>
    <row r="74" spans="1:37" x14ac:dyDescent="0.3">
      <c r="A74" s="2" t="s">
        <v>20</v>
      </c>
      <c r="B74">
        <v>150</v>
      </c>
      <c r="C74">
        <v>100</v>
      </c>
      <c r="J74">
        <v>309</v>
      </c>
      <c r="Q74">
        <v>50</v>
      </c>
      <c r="AH74">
        <f t="shared" si="3"/>
        <v>609</v>
      </c>
      <c r="AI74" s="2" t="s">
        <v>20</v>
      </c>
    </row>
    <row r="75" spans="1:37" x14ac:dyDescent="0.3">
      <c r="A75" s="2" t="s">
        <v>12</v>
      </c>
      <c r="R75">
        <v>20</v>
      </c>
      <c r="V75">
        <v>70</v>
      </c>
      <c r="Z75">
        <v>34</v>
      </c>
      <c r="AA75">
        <v>50944</v>
      </c>
      <c r="AE75" s="3"/>
      <c r="AH75">
        <f t="shared" si="3"/>
        <v>51068</v>
      </c>
      <c r="AI75" s="2" t="s">
        <v>12</v>
      </c>
    </row>
    <row r="76" spans="1:37" x14ac:dyDescent="0.3">
      <c r="A76" s="2" t="s">
        <v>31</v>
      </c>
      <c r="B76">
        <v>10051</v>
      </c>
      <c r="AH76">
        <f t="shared" si="3"/>
        <v>10051</v>
      </c>
      <c r="AI76" s="2" t="s">
        <v>31</v>
      </c>
    </row>
    <row r="77" spans="1:37" x14ac:dyDescent="0.3">
      <c r="A77" s="2" t="s">
        <v>30</v>
      </c>
      <c r="X77">
        <v>680</v>
      </c>
      <c r="AE77">
        <v>125</v>
      </c>
      <c r="AH77">
        <f t="shared" si="3"/>
        <v>805</v>
      </c>
      <c r="AI77" s="2" t="s">
        <v>30</v>
      </c>
    </row>
    <row r="78" spans="1:37" x14ac:dyDescent="0.3">
      <c r="A78" s="2" t="s">
        <v>4</v>
      </c>
      <c r="C78">
        <v>200</v>
      </c>
      <c r="N78">
        <v>30</v>
      </c>
      <c r="Q78">
        <v>150</v>
      </c>
      <c r="AA78">
        <v>7831</v>
      </c>
      <c r="AB78">
        <v>30</v>
      </c>
      <c r="AC78">
        <v>20</v>
      </c>
      <c r="AE78" s="3"/>
      <c r="AH78">
        <f t="shared" si="3"/>
        <v>8261</v>
      </c>
      <c r="AI78" s="2" t="s">
        <v>4</v>
      </c>
    </row>
    <row r="79" spans="1:37" x14ac:dyDescent="0.3">
      <c r="Q79" s="6">
        <f>SUM(B62:AE78)</f>
        <v>85932.52</v>
      </c>
      <c r="R79">
        <v>-68826</v>
      </c>
      <c r="S79">
        <f>SUM(Q79:R79)</f>
        <v>17106.520000000004</v>
      </c>
      <c r="AK79">
        <f>SUM(AK60,Q79)</f>
        <v>136640.12</v>
      </c>
    </row>
    <row r="80" spans="1:37" x14ac:dyDescent="0.3">
      <c r="B80" s="1">
        <v>45047</v>
      </c>
      <c r="C80" s="1">
        <v>45048</v>
      </c>
      <c r="D80" s="1">
        <v>45049</v>
      </c>
      <c r="E80" s="1">
        <v>45050</v>
      </c>
      <c r="F80" s="1">
        <v>45051</v>
      </c>
      <c r="G80" s="1">
        <v>45052</v>
      </c>
      <c r="H80" s="1">
        <v>45053</v>
      </c>
      <c r="I80" s="1">
        <v>45054</v>
      </c>
      <c r="J80" s="1">
        <v>45055</v>
      </c>
      <c r="K80" s="1">
        <v>45056</v>
      </c>
      <c r="L80" s="1">
        <v>45057</v>
      </c>
      <c r="M80" s="1">
        <v>45058</v>
      </c>
      <c r="N80" s="1">
        <v>45059</v>
      </c>
      <c r="O80" s="1">
        <v>45060</v>
      </c>
      <c r="P80" s="1">
        <v>45061</v>
      </c>
      <c r="Q80" s="1">
        <v>45062</v>
      </c>
      <c r="R80" s="1">
        <v>45063</v>
      </c>
      <c r="S80" s="1">
        <v>45064</v>
      </c>
      <c r="T80" s="1">
        <v>45065</v>
      </c>
      <c r="U80" s="1">
        <v>45066</v>
      </c>
      <c r="V80" s="1">
        <v>45067</v>
      </c>
      <c r="W80" s="1">
        <v>45068</v>
      </c>
      <c r="X80" s="1">
        <v>45069</v>
      </c>
      <c r="Y80" s="1">
        <v>45070</v>
      </c>
      <c r="Z80" s="1">
        <v>45071</v>
      </c>
      <c r="AA80" s="1">
        <v>45072</v>
      </c>
      <c r="AB80" s="1">
        <v>45073</v>
      </c>
      <c r="AC80" s="1">
        <v>45074</v>
      </c>
      <c r="AD80" s="1">
        <v>45075</v>
      </c>
      <c r="AE80" s="1">
        <v>45076</v>
      </c>
      <c r="AF80" s="1">
        <v>45077</v>
      </c>
    </row>
    <row r="81" spans="1:35" x14ac:dyDescent="0.3">
      <c r="A81" s="2" t="s">
        <v>5</v>
      </c>
      <c r="C81" s="4">
        <v>34</v>
      </c>
      <c r="D81">
        <v>23</v>
      </c>
      <c r="E81">
        <v>34</v>
      </c>
      <c r="F81">
        <v>0</v>
      </c>
      <c r="G81">
        <v>23</v>
      </c>
      <c r="H81" s="4">
        <v>23</v>
      </c>
      <c r="I81">
        <v>0</v>
      </c>
      <c r="J81" s="4">
        <v>23</v>
      </c>
      <c r="K81" s="4">
        <v>23</v>
      </c>
      <c r="L81" s="4">
        <v>23</v>
      </c>
      <c r="M81" s="4">
        <v>23</v>
      </c>
      <c r="N81" s="4">
        <v>0</v>
      </c>
      <c r="O81" s="4">
        <v>23</v>
      </c>
      <c r="Q81">
        <v>0</v>
      </c>
      <c r="R81">
        <v>31</v>
      </c>
      <c r="S81" s="4">
        <v>34</v>
      </c>
      <c r="T81" s="4">
        <v>23</v>
      </c>
      <c r="U81" s="4">
        <v>23</v>
      </c>
      <c r="V81" s="4">
        <v>23</v>
      </c>
      <c r="W81">
        <v>23</v>
      </c>
      <c r="X81" s="4">
        <v>23</v>
      </c>
      <c r="Y81">
        <v>23</v>
      </c>
      <c r="Z81">
        <v>23</v>
      </c>
      <c r="AA81">
        <v>23</v>
      </c>
      <c r="AB81">
        <v>23</v>
      </c>
      <c r="AC81" s="4">
        <v>23</v>
      </c>
      <c r="AD81" s="4">
        <v>23</v>
      </c>
      <c r="AE81" s="4">
        <v>23</v>
      </c>
      <c r="AF81">
        <v>22</v>
      </c>
      <c r="AH81">
        <f>SUM(B81:AF81)</f>
        <v>615</v>
      </c>
      <c r="AI81" s="2" t="s">
        <v>5</v>
      </c>
    </row>
    <row r="82" spans="1:35" x14ac:dyDescent="0.3">
      <c r="A82" t="s">
        <v>14</v>
      </c>
      <c r="F82">
        <v>5</v>
      </c>
      <c r="G82">
        <v>5</v>
      </c>
      <c r="O82">
        <v>5</v>
      </c>
      <c r="U82">
        <v>5</v>
      </c>
      <c r="AB82">
        <v>5</v>
      </c>
      <c r="AH82">
        <f>SUM(B82:AF82)</f>
        <v>25</v>
      </c>
      <c r="AI82" t="s">
        <v>14</v>
      </c>
    </row>
    <row r="83" spans="1:35" x14ac:dyDescent="0.3">
      <c r="A83" s="2" t="s">
        <v>0</v>
      </c>
      <c r="C83">
        <v>205</v>
      </c>
      <c r="D83">
        <v>100</v>
      </c>
      <c r="L83">
        <v>100</v>
      </c>
      <c r="Q83">
        <v>2500</v>
      </c>
      <c r="W83">
        <v>200</v>
      </c>
      <c r="AC83">
        <v>1010</v>
      </c>
      <c r="AH83">
        <f t="shared" ref="AH83:AH98" si="4">SUM(B83:AF83)</f>
        <v>4115</v>
      </c>
      <c r="AI83" s="2" t="s">
        <v>0</v>
      </c>
    </row>
    <row r="84" spans="1:35" x14ac:dyDescent="0.3">
      <c r="A84" s="2" t="s">
        <v>16</v>
      </c>
      <c r="C84">
        <v>190</v>
      </c>
      <c r="E84">
        <v>39</v>
      </c>
      <c r="G84">
        <v>26</v>
      </c>
      <c r="H84" s="4">
        <v>98</v>
      </c>
      <c r="J84">
        <v>29</v>
      </c>
      <c r="O84" s="4">
        <v>11</v>
      </c>
      <c r="R84">
        <v>20</v>
      </c>
      <c r="T84" s="4">
        <v>98.27</v>
      </c>
      <c r="U84">
        <v>27</v>
      </c>
      <c r="V84">
        <v>260</v>
      </c>
      <c r="X84">
        <v>20</v>
      </c>
      <c r="Y84">
        <v>10</v>
      </c>
      <c r="AD84" s="4">
        <v>40</v>
      </c>
      <c r="AE84">
        <v>10</v>
      </c>
      <c r="AH84">
        <f t="shared" si="4"/>
        <v>878.27</v>
      </c>
      <c r="AI84" s="2" t="s">
        <v>16</v>
      </c>
    </row>
    <row r="85" spans="1:35" x14ac:dyDescent="0.3">
      <c r="A85" s="2" t="s">
        <v>34</v>
      </c>
      <c r="N85">
        <v>130</v>
      </c>
      <c r="O85">
        <v>170</v>
      </c>
      <c r="T85">
        <v>360</v>
      </c>
      <c r="W85">
        <v>229</v>
      </c>
      <c r="AH85">
        <f t="shared" si="4"/>
        <v>889</v>
      </c>
      <c r="AI85" s="2" t="s">
        <v>34</v>
      </c>
    </row>
    <row r="86" spans="1:35" x14ac:dyDescent="0.3">
      <c r="A86" s="2" t="s">
        <v>18</v>
      </c>
      <c r="G86">
        <v>65</v>
      </c>
      <c r="H86" s="4">
        <v>124</v>
      </c>
      <c r="L86" s="4">
        <v>80</v>
      </c>
      <c r="N86">
        <v>631</v>
      </c>
      <c r="O86">
        <v>50</v>
      </c>
      <c r="T86" s="4">
        <v>372</v>
      </c>
      <c r="W86">
        <v>660</v>
      </c>
      <c r="Y86">
        <v>60</v>
      </c>
      <c r="AC86" s="4">
        <v>26</v>
      </c>
      <c r="AD86" s="4">
        <v>605</v>
      </c>
      <c r="AH86">
        <f t="shared" si="4"/>
        <v>2673</v>
      </c>
      <c r="AI86" s="2" t="s">
        <v>18</v>
      </c>
    </row>
    <row r="87" spans="1:35" x14ac:dyDescent="0.3">
      <c r="A87" s="2" t="s">
        <v>2</v>
      </c>
      <c r="C87">
        <v>50</v>
      </c>
      <c r="D87">
        <v>140</v>
      </c>
      <c r="F87">
        <v>32</v>
      </c>
      <c r="G87">
        <v>320</v>
      </c>
      <c r="H87" s="4">
        <v>130</v>
      </c>
      <c r="M87">
        <v>125</v>
      </c>
      <c r="O87">
        <v>160</v>
      </c>
      <c r="R87">
        <v>160</v>
      </c>
      <c r="V87">
        <v>100</v>
      </c>
      <c r="X87">
        <v>70</v>
      </c>
      <c r="Y87">
        <v>20</v>
      </c>
      <c r="AB87">
        <v>26</v>
      </c>
      <c r="AD87">
        <v>180</v>
      </c>
      <c r="AH87">
        <f t="shared" si="4"/>
        <v>1513</v>
      </c>
      <c r="AI87" s="2" t="s">
        <v>2</v>
      </c>
    </row>
    <row r="88" spans="1:35" x14ac:dyDescent="0.3">
      <c r="A88" s="2" t="s">
        <v>19</v>
      </c>
      <c r="B88">
        <v>40</v>
      </c>
      <c r="G88">
        <v>50</v>
      </c>
      <c r="H88" s="4">
        <v>117.5</v>
      </c>
      <c r="L88">
        <v>50</v>
      </c>
      <c r="Q88">
        <v>345</v>
      </c>
      <c r="U88" s="4">
        <v>52</v>
      </c>
      <c r="X88">
        <v>30</v>
      </c>
      <c r="AB88">
        <v>30</v>
      </c>
      <c r="AC88">
        <v>20</v>
      </c>
      <c r="AE88">
        <v>60</v>
      </c>
      <c r="AH88">
        <f t="shared" si="4"/>
        <v>794.5</v>
      </c>
      <c r="AI88" s="2" t="s">
        <v>19</v>
      </c>
    </row>
    <row r="89" spans="1:35" x14ac:dyDescent="0.3">
      <c r="A89" s="2" t="s">
        <v>7</v>
      </c>
      <c r="C89">
        <v>60</v>
      </c>
      <c r="L89">
        <v>20</v>
      </c>
      <c r="O89">
        <v>40</v>
      </c>
      <c r="U89">
        <v>30</v>
      </c>
      <c r="V89">
        <v>50</v>
      </c>
      <c r="AH89">
        <f t="shared" si="4"/>
        <v>200</v>
      </c>
      <c r="AI89" s="2" t="s">
        <v>7</v>
      </c>
    </row>
    <row r="90" spans="1:35" x14ac:dyDescent="0.3">
      <c r="A90" s="2" t="s">
        <v>15</v>
      </c>
      <c r="K90">
        <v>366</v>
      </c>
      <c r="L90">
        <v>425</v>
      </c>
      <c r="M90">
        <v>171</v>
      </c>
      <c r="N90">
        <v>302</v>
      </c>
      <c r="O90">
        <v>279</v>
      </c>
      <c r="AD90">
        <v>20</v>
      </c>
      <c r="AH90">
        <f t="shared" si="4"/>
        <v>1563</v>
      </c>
      <c r="AI90" s="2" t="s">
        <v>15</v>
      </c>
    </row>
    <row r="91" spans="1:35" x14ac:dyDescent="0.3">
      <c r="A91" s="2" t="s">
        <v>13</v>
      </c>
      <c r="I91">
        <v>200</v>
      </c>
      <c r="AH91">
        <f t="shared" si="4"/>
        <v>200</v>
      </c>
      <c r="AI91" s="2" t="s">
        <v>13</v>
      </c>
    </row>
    <row r="92" spans="1:35" x14ac:dyDescent="0.3">
      <c r="A92" s="2" t="s">
        <v>11</v>
      </c>
      <c r="K92">
        <v>1120</v>
      </c>
      <c r="AC92">
        <v>300</v>
      </c>
      <c r="AH92">
        <f t="shared" si="4"/>
        <v>1420</v>
      </c>
      <c r="AI92" s="2" t="s">
        <v>23</v>
      </c>
    </row>
    <row r="93" spans="1:35" x14ac:dyDescent="0.3">
      <c r="A93" s="2" t="s">
        <v>20</v>
      </c>
      <c r="B93">
        <v>375</v>
      </c>
      <c r="D93">
        <v>115</v>
      </c>
      <c r="H93">
        <v>220</v>
      </c>
      <c r="K93">
        <v>209</v>
      </c>
      <c r="L93">
        <v>110</v>
      </c>
      <c r="N93">
        <v>10</v>
      </c>
      <c r="O93">
        <v>90</v>
      </c>
      <c r="V93">
        <v>10</v>
      </c>
      <c r="Y93">
        <v>24</v>
      </c>
      <c r="AA93">
        <v>225</v>
      </c>
      <c r="AH93">
        <f t="shared" si="4"/>
        <v>1388</v>
      </c>
      <c r="AI93" s="2" t="s">
        <v>20</v>
      </c>
    </row>
    <row r="94" spans="1:35" x14ac:dyDescent="0.3">
      <c r="A94" s="2" t="s">
        <v>12</v>
      </c>
      <c r="F94">
        <v>4680</v>
      </c>
      <c r="N94">
        <v>14</v>
      </c>
      <c r="O94">
        <v>50</v>
      </c>
      <c r="T94">
        <v>13.5</v>
      </c>
      <c r="W94">
        <v>65</v>
      </c>
      <c r="X94">
        <v>380</v>
      </c>
      <c r="Z94">
        <v>6</v>
      </c>
      <c r="AD94">
        <v>110</v>
      </c>
      <c r="AE94">
        <v>10</v>
      </c>
      <c r="AH94">
        <f t="shared" si="4"/>
        <v>5328.5</v>
      </c>
      <c r="AI94" s="2" t="s">
        <v>12</v>
      </c>
    </row>
    <row r="95" spans="1:35" x14ac:dyDescent="0.3">
      <c r="A95" s="2" t="s">
        <v>8</v>
      </c>
      <c r="O95">
        <v>140</v>
      </c>
      <c r="AH95">
        <f t="shared" si="4"/>
        <v>140</v>
      </c>
      <c r="AI95" s="2" t="s">
        <v>53</v>
      </c>
    </row>
    <row r="96" spans="1:35" x14ac:dyDescent="0.3">
      <c r="A96" s="2" t="s">
        <v>23</v>
      </c>
      <c r="Q96">
        <v>1470</v>
      </c>
      <c r="AH96">
        <f t="shared" si="4"/>
        <v>1470</v>
      </c>
      <c r="AI96" s="2" t="s">
        <v>31</v>
      </c>
    </row>
    <row r="97" spans="1:37" x14ac:dyDescent="0.3">
      <c r="A97" s="2" t="s">
        <v>30</v>
      </c>
      <c r="Q97">
        <v>590</v>
      </c>
      <c r="AC97">
        <v>160</v>
      </c>
      <c r="AH97">
        <f t="shared" si="4"/>
        <v>750</v>
      </c>
      <c r="AI97" s="2" t="s">
        <v>30</v>
      </c>
    </row>
    <row r="98" spans="1:37" x14ac:dyDescent="0.3">
      <c r="A98" s="2" t="s">
        <v>4</v>
      </c>
      <c r="V98">
        <v>30</v>
      </c>
      <c r="X98">
        <v>10</v>
      </c>
      <c r="AH98">
        <f t="shared" si="4"/>
        <v>40</v>
      </c>
      <c r="AI98" s="2" t="s">
        <v>4</v>
      </c>
    </row>
    <row r="99" spans="1:37" x14ac:dyDescent="0.3">
      <c r="Q99" s="6">
        <f>SUM(B81:AF98)</f>
        <v>24002.27</v>
      </c>
      <c r="R99">
        <v>-4680</v>
      </c>
      <c r="AK99">
        <f>SUM(AK79,Q99)</f>
        <v>160642.38999999998</v>
      </c>
    </row>
    <row r="100" spans="1:37" x14ac:dyDescent="0.3">
      <c r="B100" s="1">
        <v>45078</v>
      </c>
      <c r="C100" s="1">
        <v>45079</v>
      </c>
      <c r="D100" s="1">
        <v>45080</v>
      </c>
      <c r="E100" s="1">
        <v>45081</v>
      </c>
      <c r="F100" s="1">
        <v>45082</v>
      </c>
      <c r="G100" s="1">
        <v>45083</v>
      </c>
      <c r="H100" s="1">
        <v>45084</v>
      </c>
      <c r="I100" s="1">
        <v>45085</v>
      </c>
      <c r="J100" s="1">
        <v>45086</v>
      </c>
      <c r="K100" s="1">
        <v>45087</v>
      </c>
      <c r="L100" s="1">
        <v>45088</v>
      </c>
      <c r="M100" s="1">
        <v>45089</v>
      </c>
      <c r="N100" s="1">
        <v>45090</v>
      </c>
      <c r="O100" s="1">
        <v>45091</v>
      </c>
      <c r="P100" s="1">
        <v>45092</v>
      </c>
      <c r="Q100" s="1">
        <v>45093</v>
      </c>
      <c r="R100" s="1">
        <v>45094</v>
      </c>
      <c r="S100" s="1">
        <v>45095</v>
      </c>
      <c r="T100" s="1">
        <v>45096</v>
      </c>
      <c r="U100" s="1">
        <v>45097</v>
      </c>
      <c r="V100" s="1">
        <v>45098</v>
      </c>
      <c r="W100" s="1">
        <v>45099</v>
      </c>
      <c r="X100" s="1">
        <v>45100</v>
      </c>
      <c r="Y100" s="1">
        <v>45101</v>
      </c>
      <c r="Z100" s="1">
        <v>45102</v>
      </c>
      <c r="AA100" s="1">
        <v>45103</v>
      </c>
      <c r="AB100" s="1">
        <v>45104</v>
      </c>
      <c r="AC100" s="1">
        <v>45105</v>
      </c>
      <c r="AD100" s="1">
        <v>45106</v>
      </c>
      <c r="AE100" s="1">
        <v>45107</v>
      </c>
    </row>
    <row r="101" spans="1:37" x14ac:dyDescent="0.3">
      <c r="A101" s="2" t="s">
        <v>5</v>
      </c>
      <c r="B101" s="4">
        <v>23</v>
      </c>
      <c r="C101">
        <v>23</v>
      </c>
      <c r="D101" s="4">
        <v>23</v>
      </c>
      <c r="E101">
        <v>23</v>
      </c>
      <c r="F101">
        <v>23</v>
      </c>
      <c r="G101">
        <v>23</v>
      </c>
      <c r="H101">
        <v>23</v>
      </c>
      <c r="I101" s="4">
        <v>23</v>
      </c>
      <c r="J101" s="4">
        <v>23</v>
      </c>
      <c r="K101">
        <v>25</v>
      </c>
      <c r="L101" s="4">
        <v>23</v>
      </c>
      <c r="M101" s="4">
        <v>23</v>
      </c>
      <c r="N101" s="4">
        <v>23</v>
      </c>
      <c r="O101" s="4">
        <v>23</v>
      </c>
      <c r="P101" s="4">
        <v>23</v>
      </c>
      <c r="Q101">
        <v>23</v>
      </c>
      <c r="R101" s="4">
        <v>23</v>
      </c>
      <c r="S101" s="4">
        <v>23</v>
      </c>
      <c r="T101">
        <v>23</v>
      </c>
      <c r="U101">
        <v>23</v>
      </c>
      <c r="V101">
        <v>24</v>
      </c>
      <c r="W101" s="4">
        <v>23</v>
      </c>
      <c r="X101">
        <v>23</v>
      </c>
      <c r="Y101" s="4">
        <v>23</v>
      </c>
      <c r="Z101">
        <v>34</v>
      </c>
      <c r="AA101">
        <v>23</v>
      </c>
      <c r="AB101">
        <v>23</v>
      </c>
      <c r="AC101">
        <v>23</v>
      </c>
      <c r="AD101">
        <v>44</v>
      </c>
      <c r="AE101">
        <v>22</v>
      </c>
      <c r="AH101">
        <f>SUM(B101:AE101)</f>
        <v>724</v>
      </c>
      <c r="AI101" s="2" t="s">
        <v>5</v>
      </c>
    </row>
    <row r="102" spans="1:37" x14ac:dyDescent="0.3">
      <c r="A102" t="s">
        <v>14</v>
      </c>
      <c r="D102">
        <v>5</v>
      </c>
      <c r="R102">
        <v>5</v>
      </c>
      <c r="AH102">
        <f>SUM(B102:AE102)</f>
        <v>10</v>
      </c>
      <c r="AI102" t="s">
        <v>14</v>
      </c>
    </row>
    <row r="103" spans="1:37" x14ac:dyDescent="0.3">
      <c r="A103" s="2" t="s">
        <v>0</v>
      </c>
      <c r="E103">
        <v>200</v>
      </c>
      <c r="L103">
        <v>200</v>
      </c>
      <c r="R103">
        <v>200</v>
      </c>
      <c r="V103">
        <v>1000</v>
      </c>
      <c r="AD103">
        <v>150</v>
      </c>
      <c r="AH103">
        <f t="shared" ref="AH103:AH117" si="5">SUM(B103:AE103)</f>
        <v>1750</v>
      </c>
      <c r="AI103" s="2" t="s">
        <v>0</v>
      </c>
    </row>
    <row r="104" spans="1:37" x14ac:dyDescent="0.3">
      <c r="A104" s="2" t="s">
        <v>16</v>
      </c>
      <c r="C104">
        <v>10</v>
      </c>
      <c r="E104">
        <v>254</v>
      </c>
      <c r="H104">
        <v>30</v>
      </c>
      <c r="I104" s="4">
        <v>51</v>
      </c>
      <c r="K104">
        <v>20</v>
      </c>
      <c r="L104" s="4">
        <v>31.38</v>
      </c>
      <c r="M104">
        <v>65</v>
      </c>
      <c r="N104">
        <v>30</v>
      </c>
      <c r="O104">
        <v>40</v>
      </c>
      <c r="P104">
        <v>50</v>
      </c>
      <c r="R104">
        <v>315.39999999999998</v>
      </c>
      <c r="S104">
        <v>135</v>
      </c>
      <c r="Z104">
        <v>216</v>
      </c>
      <c r="AH104">
        <f t="shared" si="5"/>
        <v>1247.78</v>
      </c>
      <c r="AI104" s="2" t="s">
        <v>16</v>
      </c>
    </row>
    <row r="105" spans="1:37" x14ac:dyDescent="0.3">
      <c r="A105" s="2" t="s">
        <v>34</v>
      </c>
      <c r="E105">
        <v>10</v>
      </c>
      <c r="L105">
        <v>10</v>
      </c>
      <c r="AD105">
        <v>200</v>
      </c>
      <c r="AH105">
        <f t="shared" si="5"/>
        <v>220</v>
      </c>
      <c r="AI105" s="2" t="s">
        <v>34</v>
      </c>
    </row>
    <row r="106" spans="1:37" x14ac:dyDescent="0.3">
      <c r="A106" s="2" t="s">
        <v>18</v>
      </c>
      <c r="E106">
        <v>431.5</v>
      </c>
      <c r="F106">
        <v>100</v>
      </c>
      <c r="I106" s="4">
        <v>544</v>
      </c>
      <c r="J106">
        <v>1310</v>
      </c>
      <c r="L106" s="4">
        <v>98</v>
      </c>
      <c r="M106">
        <v>500</v>
      </c>
      <c r="O106">
        <v>80</v>
      </c>
      <c r="P106" s="4">
        <v>157</v>
      </c>
      <c r="Y106" s="4">
        <v>606</v>
      </c>
      <c r="Z106">
        <v>180</v>
      </c>
      <c r="AD106">
        <v>500</v>
      </c>
      <c r="AH106">
        <f t="shared" si="5"/>
        <v>4506.5</v>
      </c>
      <c r="AI106" s="2" t="s">
        <v>18</v>
      </c>
    </row>
    <row r="107" spans="1:37" x14ac:dyDescent="0.3">
      <c r="A107" s="2" t="s">
        <v>2</v>
      </c>
      <c r="B107">
        <v>24</v>
      </c>
      <c r="D107">
        <v>21</v>
      </c>
      <c r="E107">
        <v>200</v>
      </c>
      <c r="H107">
        <v>20</v>
      </c>
      <c r="I107" s="4">
        <v>27</v>
      </c>
      <c r="L107" s="4">
        <v>28.33</v>
      </c>
      <c r="N107">
        <v>50</v>
      </c>
      <c r="O107" s="4">
        <v>112.12</v>
      </c>
      <c r="P107">
        <v>35</v>
      </c>
      <c r="S107">
        <v>280</v>
      </c>
      <c r="W107">
        <v>24</v>
      </c>
      <c r="Y107">
        <v>27</v>
      </c>
      <c r="Z107">
        <v>310</v>
      </c>
      <c r="AD107">
        <v>40</v>
      </c>
      <c r="AH107">
        <f t="shared" si="5"/>
        <v>1198.45</v>
      </c>
      <c r="AI107" s="2" t="s">
        <v>2</v>
      </c>
    </row>
    <row r="108" spans="1:37" x14ac:dyDescent="0.3">
      <c r="A108" s="2" t="s">
        <v>19</v>
      </c>
      <c r="E108">
        <v>49</v>
      </c>
      <c r="G108">
        <v>45</v>
      </c>
      <c r="I108" s="4">
        <v>29</v>
      </c>
      <c r="J108">
        <v>30</v>
      </c>
      <c r="Q108">
        <v>30</v>
      </c>
      <c r="T108">
        <v>30</v>
      </c>
      <c r="V108">
        <v>80</v>
      </c>
      <c r="Y108">
        <v>45</v>
      </c>
      <c r="Z108">
        <v>10</v>
      </c>
      <c r="AC108">
        <v>40</v>
      </c>
      <c r="AH108">
        <f t="shared" si="5"/>
        <v>388</v>
      </c>
      <c r="AI108" s="2" t="s">
        <v>19</v>
      </c>
    </row>
    <row r="109" spans="1:37" x14ac:dyDescent="0.3">
      <c r="A109" s="2" t="s">
        <v>7</v>
      </c>
      <c r="E109">
        <v>60</v>
      </c>
      <c r="S109">
        <v>60</v>
      </c>
      <c r="Z109">
        <v>50</v>
      </c>
      <c r="AH109">
        <f t="shared" si="5"/>
        <v>170</v>
      </c>
      <c r="AI109" s="2" t="s">
        <v>7</v>
      </c>
    </row>
    <row r="110" spans="1:37" x14ac:dyDescent="0.3">
      <c r="A110" s="2" t="s">
        <v>15</v>
      </c>
      <c r="K110">
        <v>416</v>
      </c>
      <c r="L110">
        <v>135</v>
      </c>
      <c r="M110">
        <v>418</v>
      </c>
      <c r="N110">
        <v>469</v>
      </c>
      <c r="O110">
        <v>233</v>
      </c>
      <c r="AH110">
        <f t="shared" si="5"/>
        <v>1671</v>
      </c>
      <c r="AI110" s="2" t="s">
        <v>15</v>
      </c>
    </row>
    <row r="111" spans="1:37" x14ac:dyDescent="0.3">
      <c r="A111" s="2" t="s">
        <v>13</v>
      </c>
      <c r="J111">
        <v>200</v>
      </c>
      <c r="AH111">
        <f t="shared" si="5"/>
        <v>200</v>
      </c>
      <c r="AI111" s="2" t="s">
        <v>13</v>
      </c>
    </row>
    <row r="112" spans="1:37" x14ac:dyDescent="0.3">
      <c r="A112" s="2" t="s">
        <v>17</v>
      </c>
      <c r="J112">
        <v>266.18</v>
      </c>
      <c r="P112">
        <v>201</v>
      </c>
      <c r="AH112">
        <f t="shared" si="5"/>
        <v>467.18</v>
      </c>
      <c r="AI112" s="2" t="s">
        <v>17</v>
      </c>
    </row>
    <row r="113" spans="1:37" x14ac:dyDescent="0.3">
      <c r="A113" s="2" t="s">
        <v>20</v>
      </c>
      <c r="E113">
        <v>20</v>
      </c>
      <c r="J113">
        <v>20</v>
      </c>
      <c r="O113">
        <v>30</v>
      </c>
      <c r="P113">
        <v>30</v>
      </c>
      <c r="S113">
        <v>229</v>
      </c>
      <c r="Z113">
        <v>170</v>
      </c>
      <c r="AB113">
        <v>16470</v>
      </c>
      <c r="AC113" s="4">
        <v>36</v>
      </c>
      <c r="AD113">
        <v>2000</v>
      </c>
      <c r="AH113">
        <f t="shared" si="5"/>
        <v>19005</v>
      </c>
      <c r="AI113" s="2" t="s">
        <v>20</v>
      </c>
    </row>
    <row r="114" spans="1:37" x14ac:dyDescent="0.3">
      <c r="A114" s="2" t="s">
        <v>12</v>
      </c>
      <c r="E114">
        <v>60</v>
      </c>
      <c r="F114">
        <v>40</v>
      </c>
      <c r="H114">
        <v>96</v>
      </c>
      <c r="J114">
        <v>170</v>
      </c>
      <c r="K114">
        <v>225</v>
      </c>
      <c r="L114" s="4">
        <v>20</v>
      </c>
      <c r="P114" s="4">
        <v>13.15</v>
      </c>
      <c r="S114">
        <v>15</v>
      </c>
      <c r="AB114">
        <v>10</v>
      </c>
      <c r="AH114">
        <f t="shared" si="5"/>
        <v>649.15</v>
      </c>
      <c r="AI114" s="2" t="s">
        <v>12</v>
      </c>
    </row>
    <row r="115" spans="1:37" x14ac:dyDescent="0.3">
      <c r="A115" s="2" t="s">
        <v>8</v>
      </c>
      <c r="J115">
        <v>209</v>
      </c>
      <c r="L115" s="4"/>
      <c r="Z115">
        <v>200</v>
      </c>
      <c r="AH115">
        <f t="shared" si="5"/>
        <v>409</v>
      </c>
      <c r="AI115" s="2" t="s">
        <v>8</v>
      </c>
    </row>
    <row r="116" spans="1:37" x14ac:dyDescent="0.3">
      <c r="A116" s="2" t="s">
        <v>30</v>
      </c>
      <c r="Y116">
        <v>20</v>
      </c>
      <c r="AH116">
        <f t="shared" si="5"/>
        <v>20</v>
      </c>
      <c r="AI116" s="2" t="s">
        <v>30</v>
      </c>
    </row>
    <row r="117" spans="1:37" x14ac:dyDescent="0.3">
      <c r="A117" s="2" t="s">
        <v>4</v>
      </c>
      <c r="AE117">
        <v>20</v>
      </c>
      <c r="AH117">
        <f t="shared" si="5"/>
        <v>20</v>
      </c>
      <c r="AI117" s="2" t="s">
        <v>4</v>
      </c>
    </row>
    <row r="118" spans="1:37" x14ac:dyDescent="0.3">
      <c r="Q118" s="6">
        <f>SUM(B101:AE117)</f>
        <v>32656.060000000005</v>
      </c>
      <c r="R118">
        <v>-18470</v>
      </c>
      <c r="S118">
        <f>SUM(Q118:R118)</f>
        <v>14186.060000000005</v>
      </c>
      <c r="AK118">
        <f>SUM(AK99,Q118)</f>
        <v>193298.44999999998</v>
      </c>
    </row>
    <row r="119" spans="1:37" x14ac:dyDescent="0.3">
      <c r="B119" s="1">
        <v>45108</v>
      </c>
      <c r="C119" s="1">
        <v>45109</v>
      </c>
      <c r="D119" s="1">
        <v>45110</v>
      </c>
      <c r="E119" s="1">
        <v>45111</v>
      </c>
      <c r="F119" s="1">
        <v>45112</v>
      </c>
      <c r="G119" s="1">
        <v>45113</v>
      </c>
      <c r="H119" s="1">
        <v>45114</v>
      </c>
      <c r="I119" s="1">
        <v>45115</v>
      </c>
      <c r="J119" s="1">
        <v>45116</v>
      </c>
      <c r="K119" s="1">
        <v>45117</v>
      </c>
      <c r="L119" s="1">
        <v>45118</v>
      </c>
      <c r="M119" s="1">
        <v>45119</v>
      </c>
      <c r="N119" s="1">
        <v>45120</v>
      </c>
      <c r="O119" s="1">
        <v>45121</v>
      </c>
      <c r="P119" s="1">
        <v>45122</v>
      </c>
      <c r="Q119" s="1">
        <v>45123</v>
      </c>
      <c r="R119" s="1">
        <v>45124</v>
      </c>
      <c r="S119" s="1">
        <v>45125</v>
      </c>
      <c r="T119" s="1">
        <v>45126</v>
      </c>
      <c r="U119" s="1">
        <v>45127</v>
      </c>
      <c r="V119" s="1">
        <v>45128</v>
      </c>
      <c r="W119" s="1">
        <v>45129</v>
      </c>
      <c r="X119" s="1">
        <v>45130</v>
      </c>
      <c r="Y119" s="1">
        <v>45131</v>
      </c>
      <c r="Z119" s="1">
        <v>45132</v>
      </c>
      <c r="AA119" s="1">
        <v>45133</v>
      </c>
      <c r="AB119" s="1">
        <v>45134</v>
      </c>
      <c r="AC119" s="1">
        <v>45135</v>
      </c>
      <c r="AD119" s="1">
        <v>45136</v>
      </c>
      <c r="AE119" s="1">
        <v>45137</v>
      </c>
      <c r="AF119" s="1">
        <v>45138</v>
      </c>
    </row>
    <row r="120" spans="1:37" x14ac:dyDescent="0.3">
      <c r="A120" s="2" t="s">
        <v>5</v>
      </c>
      <c r="B120">
        <v>22</v>
      </c>
      <c r="C120">
        <v>23</v>
      </c>
      <c r="D120">
        <v>11</v>
      </c>
      <c r="E120" s="4">
        <v>23</v>
      </c>
      <c r="F120" s="4">
        <v>23</v>
      </c>
      <c r="G120" s="4">
        <v>23</v>
      </c>
      <c r="H120">
        <v>23</v>
      </c>
      <c r="I120" s="4">
        <v>23</v>
      </c>
      <c r="J120">
        <v>23</v>
      </c>
      <c r="K120">
        <v>23</v>
      </c>
      <c r="L120">
        <v>23</v>
      </c>
      <c r="M120" s="4">
        <v>23</v>
      </c>
      <c r="N120">
        <v>23</v>
      </c>
      <c r="O120">
        <v>23</v>
      </c>
      <c r="P120">
        <v>23</v>
      </c>
      <c r="Q120" s="4">
        <v>23</v>
      </c>
      <c r="R120">
        <v>23</v>
      </c>
      <c r="S120">
        <v>23</v>
      </c>
      <c r="T120">
        <v>23</v>
      </c>
      <c r="U120">
        <v>23</v>
      </c>
      <c r="V120">
        <v>23</v>
      </c>
      <c r="W120">
        <v>23</v>
      </c>
      <c r="X120" s="4">
        <v>23</v>
      </c>
      <c r="Y120">
        <v>23</v>
      </c>
      <c r="Z120">
        <v>23</v>
      </c>
      <c r="AA120">
        <v>23</v>
      </c>
      <c r="AB120">
        <v>23</v>
      </c>
      <c r="AC120">
        <v>23</v>
      </c>
      <c r="AD120">
        <v>23</v>
      </c>
      <c r="AE120">
        <v>0</v>
      </c>
      <c r="AF120">
        <v>34</v>
      </c>
      <c r="AH120">
        <f>SUM(B120:AF120)</f>
        <v>688</v>
      </c>
      <c r="AI120" s="2" t="s">
        <v>5</v>
      </c>
    </row>
    <row r="121" spans="1:37" x14ac:dyDescent="0.3">
      <c r="A121" t="s">
        <v>14</v>
      </c>
      <c r="I121">
        <v>5</v>
      </c>
      <c r="W121">
        <v>5</v>
      </c>
      <c r="AD121">
        <v>5</v>
      </c>
      <c r="AH121">
        <f>SUM(B121:AF121)</f>
        <v>15</v>
      </c>
      <c r="AI121" t="s">
        <v>14</v>
      </c>
    </row>
    <row r="122" spans="1:37" x14ac:dyDescent="0.3">
      <c r="A122" s="2" t="s">
        <v>0</v>
      </c>
      <c r="D122" s="5">
        <v>200</v>
      </c>
      <c r="F122">
        <v>202</v>
      </c>
      <c r="T122">
        <v>1010</v>
      </c>
      <c r="Y122">
        <v>200</v>
      </c>
      <c r="AB122">
        <v>200</v>
      </c>
      <c r="AH122">
        <f t="shared" ref="AH122:AH139" si="6">SUM(B122:AF122)</f>
        <v>1812</v>
      </c>
      <c r="AI122" s="2" t="s">
        <v>0</v>
      </c>
    </row>
    <row r="123" spans="1:37" x14ac:dyDescent="0.3">
      <c r="A123" s="2" t="s">
        <v>16</v>
      </c>
      <c r="B123">
        <v>22</v>
      </c>
      <c r="C123">
        <v>190</v>
      </c>
      <c r="E123">
        <v>40</v>
      </c>
      <c r="F123" s="4">
        <v>95.3</v>
      </c>
      <c r="I123" s="4">
        <v>38</v>
      </c>
      <c r="J123">
        <v>275</v>
      </c>
      <c r="L123">
        <v>60</v>
      </c>
      <c r="M123" s="4">
        <v>16.440000000000001</v>
      </c>
      <c r="N123">
        <v>14</v>
      </c>
      <c r="O123">
        <v>50</v>
      </c>
      <c r="Q123">
        <v>215</v>
      </c>
      <c r="W123">
        <v>290</v>
      </c>
      <c r="X123" s="4">
        <v>39.6</v>
      </c>
      <c r="Z123">
        <v>20</v>
      </c>
      <c r="AD123">
        <v>55</v>
      </c>
      <c r="AE123">
        <v>409</v>
      </c>
      <c r="AH123">
        <f t="shared" si="6"/>
        <v>1829.34</v>
      </c>
      <c r="AI123" s="2" t="s">
        <v>16</v>
      </c>
    </row>
    <row r="124" spans="1:37" x14ac:dyDescent="0.3">
      <c r="A124" s="2" t="s">
        <v>34</v>
      </c>
      <c r="I124">
        <v>99</v>
      </c>
      <c r="AH124">
        <f t="shared" si="6"/>
        <v>99</v>
      </c>
      <c r="AI124" s="2" t="s">
        <v>34</v>
      </c>
    </row>
    <row r="125" spans="1:37" x14ac:dyDescent="0.3">
      <c r="A125" s="2" t="s">
        <v>18</v>
      </c>
      <c r="B125">
        <v>197.21</v>
      </c>
      <c r="C125">
        <v>425</v>
      </c>
      <c r="I125" s="4">
        <v>1121.75</v>
      </c>
      <c r="L125">
        <v>180</v>
      </c>
      <c r="M125" s="4">
        <v>249</v>
      </c>
      <c r="O125">
        <v>735</v>
      </c>
      <c r="R125">
        <v>45</v>
      </c>
      <c r="W125">
        <v>50</v>
      </c>
      <c r="X125" s="4">
        <v>766.67</v>
      </c>
      <c r="AD125">
        <v>917</v>
      </c>
      <c r="AH125">
        <f t="shared" si="6"/>
        <v>4686.63</v>
      </c>
      <c r="AI125" s="2" t="s">
        <v>18</v>
      </c>
    </row>
    <row r="126" spans="1:37" x14ac:dyDescent="0.3">
      <c r="A126" s="2" t="s">
        <v>2</v>
      </c>
      <c r="C126">
        <v>124</v>
      </c>
      <c r="F126">
        <v>33</v>
      </c>
      <c r="I126">
        <v>31</v>
      </c>
      <c r="J126">
        <v>300</v>
      </c>
      <c r="M126">
        <v>51</v>
      </c>
      <c r="Q126">
        <v>135</v>
      </c>
      <c r="U126">
        <v>45</v>
      </c>
      <c r="V126">
        <v>57</v>
      </c>
      <c r="X126">
        <v>150</v>
      </c>
      <c r="AE126">
        <v>130</v>
      </c>
      <c r="AF126">
        <v>220</v>
      </c>
      <c r="AH126">
        <f t="shared" si="6"/>
        <v>1276</v>
      </c>
      <c r="AI126" s="2" t="s">
        <v>2</v>
      </c>
    </row>
    <row r="127" spans="1:37" x14ac:dyDescent="0.3">
      <c r="A127" s="2" t="s">
        <v>19</v>
      </c>
      <c r="B127">
        <v>182.5</v>
      </c>
      <c r="E127">
        <v>20</v>
      </c>
      <c r="H127">
        <v>30</v>
      </c>
      <c r="I127" s="4">
        <v>51.7</v>
      </c>
      <c r="J127">
        <v>95</v>
      </c>
      <c r="M127" s="4">
        <v>19</v>
      </c>
      <c r="O127">
        <v>58</v>
      </c>
      <c r="R127">
        <v>22</v>
      </c>
      <c r="V127">
        <v>20</v>
      </c>
      <c r="X127" s="4">
        <v>84.55</v>
      </c>
      <c r="AB127">
        <v>40</v>
      </c>
      <c r="AE127">
        <v>30</v>
      </c>
      <c r="AH127">
        <f t="shared" si="6"/>
        <v>652.75</v>
      </c>
      <c r="AI127" s="2" t="s">
        <v>19</v>
      </c>
    </row>
    <row r="128" spans="1:37" x14ac:dyDescent="0.3">
      <c r="A128" s="2" t="s">
        <v>7</v>
      </c>
      <c r="E128">
        <v>30</v>
      </c>
      <c r="I128">
        <v>30</v>
      </c>
      <c r="Z128">
        <v>20</v>
      </c>
      <c r="AH128">
        <f t="shared" si="6"/>
        <v>80</v>
      </c>
      <c r="AI128" s="2" t="s">
        <v>7</v>
      </c>
    </row>
    <row r="129" spans="1:37" x14ac:dyDescent="0.3">
      <c r="A129" s="2" t="s">
        <v>15</v>
      </c>
      <c r="K129">
        <v>374</v>
      </c>
      <c r="L129">
        <v>300</v>
      </c>
      <c r="M129">
        <v>494</v>
      </c>
      <c r="N129">
        <v>552</v>
      </c>
      <c r="O129">
        <v>256</v>
      </c>
      <c r="AH129">
        <f t="shared" si="6"/>
        <v>1976</v>
      </c>
      <c r="AI129" s="2" t="s">
        <v>15</v>
      </c>
    </row>
    <row r="130" spans="1:37" x14ac:dyDescent="0.3">
      <c r="A130" s="2" t="s">
        <v>13</v>
      </c>
      <c r="H130">
        <v>200</v>
      </c>
      <c r="M130">
        <v>40</v>
      </c>
      <c r="AH130">
        <f t="shared" si="6"/>
        <v>240</v>
      </c>
      <c r="AI130" s="2" t="s">
        <v>13</v>
      </c>
    </row>
    <row r="131" spans="1:37" x14ac:dyDescent="0.3">
      <c r="A131" s="2" t="s">
        <v>54</v>
      </c>
      <c r="Q131">
        <v>1120</v>
      </c>
      <c r="S131" s="3"/>
      <c r="AH131">
        <f t="shared" si="6"/>
        <v>1120</v>
      </c>
      <c r="AI131" s="2" t="s">
        <v>54</v>
      </c>
    </row>
    <row r="132" spans="1:37" x14ac:dyDescent="0.3">
      <c r="A132" s="2" t="s">
        <v>17</v>
      </c>
      <c r="D132">
        <v>3182.46</v>
      </c>
      <c r="AH132">
        <f t="shared" si="6"/>
        <v>3182.46</v>
      </c>
      <c r="AI132" s="2" t="s">
        <v>17</v>
      </c>
    </row>
    <row r="133" spans="1:37" x14ac:dyDescent="0.3">
      <c r="A133" s="2" t="s">
        <v>20</v>
      </c>
      <c r="J133">
        <v>100</v>
      </c>
      <c r="S133">
        <v>209</v>
      </c>
      <c r="T133">
        <v>36</v>
      </c>
      <c r="U133">
        <v>200</v>
      </c>
      <c r="AC133">
        <v>36</v>
      </c>
      <c r="AD133">
        <v>20</v>
      </c>
      <c r="AH133">
        <f t="shared" si="6"/>
        <v>601</v>
      </c>
      <c r="AI133" s="2" t="s">
        <v>20</v>
      </c>
    </row>
    <row r="134" spans="1:37" x14ac:dyDescent="0.3">
      <c r="A134" s="2" t="s">
        <v>12</v>
      </c>
      <c r="E134">
        <v>10</v>
      </c>
      <c r="F134">
        <v>80</v>
      </c>
      <c r="R134">
        <v>40</v>
      </c>
      <c r="T134">
        <v>30</v>
      </c>
      <c r="V134">
        <v>95</v>
      </c>
      <c r="W134">
        <v>20</v>
      </c>
      <c r="AC134">
        <v>30</v>
      </c>
      <c r="AH134">
        <f t="shared" si="6"/>
        <v>305</v>
      </c>
      <c r="AI134" s="2" t="s">
        <v>12</v>
      </c>
    </row>
    <row r="135" spans="1:37" x14ac:dyDescent="0.3">
      <c r="A135" s="2" t="s">
        <v>31</v>
      </c>
      <c r="D135">
        <v>250</v>
      </c>
      <c r="AH135">
        <f t="shared" si="6"/>
        <v>250</v>
      </c>
      <c r="AI135" s="2" t="s">
        <v>31</v>
      </c>
    </row>
    <row r="136" spans="1:37" x14ac:dyDescent="0.3">
      <c r="A136" s="2" t="s">
        <v>8</v>
      </c>
      <c r="F136">
        <v>440</v>
      </c>
      <c r="W136">
        <v>30</v>
      </c>
      <c r="AB136">
        <v>540</v>
      </c>
      <c r="AH136">
        <f t="shared" si="6"/>
        <v>1010</v>
      </c>
      <c r="AI136" s="2" t="s">
        <v>8</v>
      </c>
    </row>
    <row r="137" spans="1:37" x14ac:dyDescent="0.3">
      <c r="A137" s="2" t="s">
        <v>23</v>
      </c>
      <c r="B137">
        <v>907</v>
      </c>
      <c r="C137">
        <v>105</v>
      </c>
      <c r="AH137">
        <f t="shared" si="6"/>
        <v>1012</v>
      </c>
      <c r="AI137" s="2" t="s">
        <v>23</v>
      </c>
    </row>
    <row r="138" spans="1:37" x14ac:dyDescent="0.3">
      <c r="A138" s="2" t="s">
        <v>30</v>
      </c>
      <c r="C138">
        <v>70</v>
      </c>
      <c r="U138">
        <v>40</v>
      </c>
      <c r="AH138">
        <f t="shared" si="6"/>
        <v>110</v>
      </c>
      <c r="AI138" s="2" t="s">
        <v>30</v>
      </c>
    </row>
    <row r="139" spans="1:37" x14ac:dyDescent="0.3">
      <c r="A139" s="2" t="s">
        <v>4</v>
      </c>
      <c r="F139">
        <v>300</v>
      </c>
      <c r="L139">
        <v>1400</v>
      </c>
      <c r="Y139">
        <v>95</v>
      </c>
      <c r="Z139">
        <v>20</v>
      </c>
      <c r="AF139">
        <v>560</v>
      </c>
      <c r="AH139">
        <f t="shared" si="6"/>
        <v>2375</v>
      </c>
      <c r="AI139" s="2" t="s">
        <v>4</v>
      </c>
    </row>
    <row r="140" spans="1:37" x14ac:dyDescent="0.3">
      <c r="Q140" s="6">
        <f>SUM(B120:AF139)</f>
        <v>23320.18</v>
      </c>
      <c r="R140">
        <v>-16300</v>
      </c>
      <c r="AK140">
        <f>SUM(AK118,Q140)</f>
        <v>216618.62999999998</v>
      </c>
    </row>
    <row r="141" spans="1:37" x14ac:dyDescent="0.3">
      <c r="B141" s="1">
        <v>45139</v>
      </c>
      <c r="C141" s="1">
        <v>45140</v>
      </c>
      <c r="D141" s="1">
        <v>45141</v>
      </c>
      <c r="E141" s="1">
        <v>45142</v>
      </c>
      <c r="F141" s="1">
        <v>45143</v>
      </c>
      <c r="G141" s="1">
        <v>45144</v>
      </c>
      <c r="H141" s="1">
        <v>45145</v>
      </c>
      <c r="I141" s="1">
        <v>45146</v>
      </c>
      <c r="J141" s="1">
        <v>45147</v>
      </c>
      <c r="K141" s="1">
        <v>45148</v>
      </c>
      <c r="L141" s="1">
        <v>45149</v>
      </c>
      <c r="M141" s="1">
        <v>45150</v>
      </c>
      <c r="N141" s="1">
        <v>45151</v>
      </c>
      <c r="O141" s="1">
        <v>45152</v>
      </c>
      <c r="P141" s="1">
        <v>45153</v>
      </c>
      <c r="Q141" s="1">
        <v>45154</v>
      </c>
      <c r="R141" s="1">
        <v>45155</v>
      </c>
      <c r="S141" s="1">
        <v>45156</v>
      </c>
      <c r="T141" s="1">
        <v>45157</v>
      </c>
      <c r="U141" s="1">
        <v>45158</v>
      </c>
      <c r="V141" s="1">
        <v>45159</v>
      </c>
      <c r="W141" s="1">
        <v>45160</v>
      </c>
      <c r="X141" s="1">
        <v>45161</v>
      </c>
      <c r="Y141" s="1">
        <v>45162</v>
      </c>
      <c r="Z141" s="1">
        <v>45163</v>
      </c>
      <c r="AA141" s="1">
        <v>45164</v>
      </c>
      <c r="AB141" s="1">
        <v>45165</v>
      </c>
      <c r="AC141" s="1">
        <v>45166</v>
      </c>
      <c r="AD141" s="1">
        <v>45167</v>
      </c>
      <c r="AE141" s="1">
        <v>45168</v>
      </c>
      <c r="AF141" s="1">
        <v>45169</v>
      </c>
    </row>
    <row r="142" spans="1:37" x14ac:dyDescent="0.3">
      <c r="A142" s="2" t="s">
        <v>5</v>
      </c>
      <c r="B142">
        <v>25</v>
      </c>
      <c r="C142">
        <v>25</v>
      </c>
      <c r="D142">
        <v>25</v>
      </c>
      <c r="E142">
        <v>25</v>
      </c>
      <c r="F142">
        <v>25</v>
      </c>
      <c r="G142">
        <v>25</v>
      </c>
      <c r="H142">
        <v>50</v>
      </c>
      <c r="I142" s="4">
        <v>25</v>
      </c>
      <c r="J142">
        <v>51</v>
      </c>
      <c r="K142">
        <v>0</v>
      </c>
      <c r="L142" s="4">
        <v>51</v>
      </c>
      <c r="M142">
        <v>25</v>
      </c>
      <c r="N142" s="4">
        <v>25</v>
      </c>
      <c r="O142">
        <v>0</v>
      </c>
      <c r="P142" s="4">
        <v>0</v>
      </c>
      <c r="Q142">
        <v>25</v>
      </c>
      <c r="R142">
        <v>25</v>
      </c>
      <c r="S142">
        <v>25</v>
      </c>
      <c r="T142">
        <v>24</v>
      </c>
      <c r="U142" s="4">
        <v>25</v>
      </c>
      <c r="V142" s="4">
        <v>25</v>
      </c>
      <c r="W142">
        <v>0</v>
      </c>
      <c r="X142">
        <v>25</v>
      </c>
      <c r="Y142">
        <v>25</v>
      </c>
      <c r="Z142" s="4">
        <v>32</v>
      </c>
      <c r="AA142">
        <v>0</v>
      </c>
      <c r="AB142">
        <v>0</v>
      </c>
      <c r="AC142">
        <v>25</v>
      </c>
      <c r="AD142">
        <v>51</v>
      </c>
      <c r="AE142">
        <v>25</v>
      </c>
      <c r="AF142">
        <v>25</v>
      </c>
      <c r="AH142">
        <f>SUM(B142:AF142)</f>
        <v>734</v>
      </c>
      <c r="AI142" s="2" t="s">
        <v>5</v>
      </c>
    </row>
    <row r="143" spans="1:37" x14ac:dyDescent="0.3">
      <c r="A143" t="s">
        <v>14</v>
      </c>
      <c r="F143">
        <v>5</v>
      </c>
      <c r="T143">
        <v>5</v>
      </c>
      <c r="AH143">
        <f>SUM(B143:AF143)</f>
        <v>10</v>
      </c>
      <c r="AI143" t="s">
        <v>14</v>
      </c>
    </row>
    <row r="144" spans="1:37" x14ac:dyDescent="0.3">
      <c r="A144" s="2" t="s">
        <v>0</v>
      </c>
      <c r="J144">
        <v>1000</v>
      </c>
      <c r="P144">
        <v>400</v>
      </c>
      <c r="AB144">
        <v>1000</v>
      </c>
      <c r="AC144">
        <v>200</v>
      </c>
      <c r="AD144">
        <v>200</v>
      </c>
      <c r="AH144">
        <f t="shared" ref="AH144:AH160" si="7">SUM(B144:AF144)</f>
        <v>2800</v>
      </c>
      <c r="AI144" s="2" t="s">
        <v>0</v>
      </c>
    </row>
    <row r="145" spans="1:35" x14ac:dyDescent="0.3">
      <c r="A145" s="2" t="s">
        <v>16</v>
      </c>
      <c r="G145">
        <v>330</v>
      </c>
      <c r="H145">
        <v>39</v>
      </c>
      <c r="L145" s="4">
        <v>41.47</v>
      </c>
      <c r="M145">
        <v>220</v>
      </c>
      <c r="N145">
        <v>30</v>
      </c>
      <c r="O145">
        <v>130</v>
      </c>
      <c r="U145">
        <v>150</v>
      </c>
      <c r="V145">
        <v>25</v>
      </c>
      <c r="X145">
        <v>170</v>
      </c>
      <c r="Y145">
        <v>10</v>
      </c>
      <c r="AF145">
        <v>58</v>
      </c>
      <c r="AH145">
        <f t="shared" si="7"/>
        <v>1203.47</v>
      </c>
      <c r="AI145" s="2" t="s">
        <v>16</v>
      </c>
    </row>
    <row r="146" spans="1:35" x14ac:dyDescent="0.3">
      <c r="A146" s="2" t="s">
        <v>34</v>
      </c>
      <c r="G146">
        <v>520</v>
      </c>
      <c r="L146">
        <v>49</v>
      </c>
      <c r="X146">
        <v>210</v>
      </c>
      <c r="AH146">
        <f t="shared" si="7"/>
        <v>779</v>
      </c>
      <c r="AI146" s="2" t="s">
        <v>34</v>
      </c>
    </row>
    <row r="147" spans="1:35" x14ac:dyDescent="0.3">
      <c r="A147" s="2" t="s">
        <v>18</v>
      </c>
      <c r="G147">
        <v>50</v>
      </c>
      <c r="J147">
        <v>110</v>
      </c>
      <c r="L147" s="4">
        <v>1724.77</v>
      </c>
      <c r="O147">
        <v>60</v>
      </c>
      <c r="R147">
        <v>80</v>
      </c>
      <c r="W147">
        <v>77.319999999999993</v>
      </c>
      <c r="X147">
        <v>1134</v>
      </c>
      <c r="AH147">
        <f t="shared" si="7"/>
        <v>3236.09</v>
      </c>
      <c r="AI147" s="2" t="s">
        <v>18</v>
      </c>
    </row>
    <row r="148" spans="1:35" x14ac:dyDescent="0.3">
      <c r="A148" s="2" t="s">
        <v>2</v>
      </c>
      <c r="D148">
        <v>45</v>
      </c>
      <c r="F148">
        <v>45</v>
      </c>
      <c r="G148">
        <v>20</v>
      </c>
      <c r="H148">
        <v>100</v>
      </c>
      <c r="I148">
        <v>25</v>
      </c>
      <c r="M148">
        <v>90</v>
      </c>
      <c r="O148">
        <v>100</v>
      </c>
      <c r="Q148">
        <v>40</v>
      </c>
      <c r="U148">
        <v>120</v>
      </c>
      <c r="V148">
        <v>70</v>
      </c>
      <c r="AD148">
        <v>28</v>
      </c>
      <c r="AH148">
        <f t="shared" si="7"/>
        <v>683</v>
      </c>
      <c r="AI148" s="2" t="s">
        <v>2</v>
      </c>
    </row>
    <row r="149" spans="1:35" x14ac:dyDescent="0.3">
      <c r="A149" s="2" t="s">
        <v>19</v>
      </c>
      <c r="E149">
        <v>30</v>
      </c>
      <c r="F149">
        <v>20</v>
      </c>
      <c r="H149">
        <v>15</v>
      </c>
      <c r="K149">
        <v>50</v>
      </c>
      <c r="L149" s="4">
        <v>65</v>
      </c>
      <c r="M149">
        <v>55</v>
      </c>
      <c r="R149">
        <v>30</v>
      </c>
      <c r="U149">
        <v>85</v>
      </c>
      <c r="X149">
        <v>30</v>
      </c>
      <c r="Y149">
        <v>60</v>
      </c>
      <c r="AB149">
        <v>70</v>
      </c>
      <c r="AH149">
        <f t="shared" si="7"/>
        <v>510</v>
      </c>
      <c r="AI149" s="2" t="s">
        <v>19</v>
      </c>
    </row>
    <row r="150" spans="1:35" x14ac:dyDescent="0.3">
      <c r="A150" s="2" t="s">
        <v>7</v>
      </c>
      <c r="G150">
        <v>50</v>
      </c>
      <c r="O150">
        <v>40</v>
      </c>
      <c r="AH150">
        <f t="shared" si="7"/>
        <v>90</v>
      </c>
      <c r="AI150" s="2" t="s">
        <v>7</v>
      </c>
    </row>
    <row r="151" spans="1:35" x14ac:dyDescent="0.3">
      <c r="A151" s="2" t="s">
        <v>15</v>
      </c>
      <c r="K151">
        <v>304</v>
      </c>
      <c r="L151">
        <v>625</v>
      </c>
      <c r="M151">
        <v>312</v>
      </c>
      <c r="N151">
        <v>409</v>
      </c>
      <c r="AH151">
        <f t="shared" si="7"/>
        <v>1650</v>
      </c>
      <c r="AI151" s="2" t="s">
        <v>15</v>
      </c>
    </row>
    <row r="152" spans="1:35" x14ac:dyDescent="0.3">
      <c r="A152" s="2" t="s">
        <v>13</v>
      </c>
      <c r="H152">
        <v>200</v>
      </c>
      <c r="AH152">
        <f t="shared" si="7"/>
        <v>200</v>
      </c>
      <c r="AI152" s="2" t="s">
        <v>13</v>
      </c>
    </row>
    <row r="153" spans="1:35" x14ac:dyDescent="0.3">
      <c r="A153" s="2" t="s">
        <v>53</v>
      </c>
      <c r="B153">
        <v>1000</v>
      </c>
      <c r="X153">
        <v>600</v>
      </c>
      <c r="Y153">
        <v>106</v>
      </c>
      <c r="Z153">
        <v>70</v>
      </c>
      <c r="AH153">
        <f t="shared" si="7"/>
        <v>1776</v>
      </c>
      <c r="AI153" s="2" t="s">
        <v>53</v>
      </c>
    </row>
    <row r="154" spans="1:35" x14ac:dyDescent="0.3">
      <c r="A154" s="2" t="s">
        <v>20</v>
      </c>
      <c r="B154">
        <v>10</v>
      </c>
      <c r="K154">
        <v>10</v>
      </c>
      <c r="O154">
        <v>100</v>
      </c>
      <c r="AE154">
        <v>36</v>
      </c>
      <c r="AH154">
        <f t="shared" si="7"/>
        <v>156</v>
      </c>
      <c r="AI154" s="2" t="s">
        <v>20</v>
      </c>
    </row>
    <row r="155" spans="1:35" x14ac:dyDescent="0.3">
      <c r="A155" s="2" t="s">
        <v>12</v>
      </c>
      <c r="E155">
        <v>1172</v>
      </c>
      <c r="H155">
        <v>30</v>
      </c>
      <c r="J155">
        <v>105</v>
      </c>
      <c r="N155">
        <v>100</v>
      </c>
      <c r="V155">
        <v>5</v>
      </c>
      <c r="W155">
        <v>5</v>
      </c>
      <c r="AC155">
        <v>25</v>
      </c>
      <c r="AF155">
        <v>40</v>
      </c>
      <c r="AH155">
        <f t="shared" si="7"/>
        <v>1482</v>
      </c>
      <c r="AI155" s="2" t="s">
        <v>12</v>
      </c>
    </row>
    <row r="156" spans="1:35" x14ac:dyDescent="0.3">
      <c r="A156" s="2" t="s">
        <v>31</v>
      </c>
      <c r="X156">
        <v>320</v>
      </c>
      <c r="AH156">
        <f t="shared" si="7"/>
        <v>320</v>
      </c>
      <c r="AI156" s="2" t="s">
        <v>31</v>
      </c>
    </row>
    <row r="157" spans="1:35" x14ac:dyDescent="0.3">
      <c r="A157" s="2" t="s">
        <v>8</v>
      </c>
      <c r="B157">
        <v>50</v>
      </c>
      <c r="J157">
        <v>50</v>
      </c>
      <c r="AA157">
        <v>35</v>
      </c>
      <c r="AH157">
        <f t="shared" si="7"/>
        <v>135</v>
      </c>
      <c r="AI157" s="2" t="s">
        <v>8</v>
      </c>
    </row>
    <row r="158" spans="1:35" x14ac:dyDescent="0.3">
      <c r="A158" s="2" t="s">
        <v>1</v>
      </c>
      <c r="S158">
        <v>613</v>
      </c>
      <c r="U158">
        <v>10</v>
      </c>
      <c r="V158">
        <v>440</v>
      </c>
      <c r="AH158">
        <f t="shared" si="7"/>
        <v>1063</v>
      </c>
      <c r="AI158" s="2" t="s">
        <v>1</v>
      </c>
    </row>
    <row r="159" spans="1:35" x14ac:dyDescent="0.3">
      <c r="A159" s="2" t="s">
        <v>30</v>
      </c>
      <c r="M159">
        <v>124</v>
      </c>
      <c r="N159">
        <v>10</v>
      </c>
      <c r="O159">
        <v>75</v>
      </c>
      <c r="AB159">
        <v>90</v>
      </c>
      <c r="AH159">
        <f t="shared" si="7"/>
        <v>299</v>
      </c>
      <c r="AI159" s="2" t="s">
        <v>30</v>
      </c>
    </row>
    <row r="160" spans="1:35" x14ac:dyDescent="0.3">
      <c r="A160" s="2" t="s">
        <v>4</v>
      </c>
      <c r="F160">
        <v>25</v>
      </c>
      <c r="G160">
        <v>60</v>
      </c>
      <c r="W160">
        <v>20</v>
      </c>
      <c r="AH160">
        <f t="shared" si="7"/>
        <v>105</v>
      </c>
      <c r="AI160" s="2" t="s">
        <v>4</v>
      </c>
    </row>
    <row r="161" spans="1:37" x14ac:dyDescent="0.3">
      <c r="Q161" s="6">
        <f>SUM(B142:AF160)</f>
        <v>17231.559999999998</v>
      </c>
      <c r="AK161">
        <f>SUM(AK140,Q161)</f>
        <v>233850.18999999997</v>
      </c>
    </row>
    <row r="162" spans="1:37" x14ac:dyDescent="0.3">
      <c r="B162" s="1">
        <v>45170</v>
      </c>
      <c r="C162" s="1">
        <v>45171</v>
      </c>
      <c r="D162" s="1">
        <v>45172</v>
      </c>
      <c r="E162" s="1">
        <v>45173</v>
      </c>
      <c r="F162" s="1">
        <v>45174</v>
      </c>
      <c r="G162" s="1">
        <v>45175</v>
      </c>
      <c r="H162" s="1">
        <v>45176</v>
      </c>
      <c r="I162" s="1">
        <v>45177</v>
      </c>
      <c r="J162" s="1">
        <v>45178</v>
      </c>
      <c r="K162" s="1">
        <v>45179</v>
      </c>
      <c r="L162" s="1">
        <v>45180</v>
      </c>
      <c r="M162" s="1">
        <v>45181</v>
      </c>
      <c r="N162" s="1">
        <v>45182</v>
      </c>
      <c r="O162" s="1">
        <v>45183</v>
      </c>
      <c r="P162" s="1">
        <v>45184</v>
      </c>
      <c r="Q162" s="1">
        <v>45185</v>
      </c>
      <c r="R162" s="1">
        <v>45186</v>
      </c>
      <c r="S162" s="1">
        <v>45187</v>
      </c>
      <c r="T162" s="1">
        <v>45188</v>
      </c>
      <c r="U162" s="1">
        <v>45189</v>
      </c>
      <c r="V162" s="1">
        <v>45190</v>
      </c>
      <c r="W162" s="1">
        <v>45191</v>
      </c>
      <c r="X162" s="1">
        <v>45192</v>
      </c>
      <c r="Y162" s="1">
        <v>45193</v>
      </c>
      <c r="Z162" s="1">
        <v>45194</v>
      </c>
      <c r="AA162" s="1">
        <v>45195</v>
      </c>
      <c r="AB162" s="1">
        <v>45196</v>
      </c>
      <c r="AC162" s="1">
        <v>45197</v>
      </c>
      <c r="AD162" s="1">
        <v>45198</v>
      </c>
      <c r="AE162" s="1">
        <v>45199</v>
      </c>
    </row>
    <row r="163" spans="1:37" x14ac:dyDescent="0.3">
      <c r="A163" s="2" t="s">
        <v>5</v>
      </c>
      <c r="B163">
        <v>26</v>
      </c>
      <c r="C163">
        <v>26</v>
      </c>
      <c r="D163">
        <v>12</v>
      </c>
      <c r="E163">
        <v>25</v>
      </c>
      <c r="F163">
        <v>25</v>
      </c>
      <c r="G163">
        <v>0</v>
      </c>
      <c r="H163">
        <v>24</v>
      </c>
      <c r="I163">
        <v>25</v>
      </c>
      <c r="J163" s="4">
        <v>25</v>
      </c>
      <c r="K163" s="4">
        <v>25</v>
      </c>
      <c r="L163" s="4">
        <v>20</v>
      </c>
      <c r="M163" s="4">
        <v>25</v>
      </c>
      <c r="N163">
        <v>25</v>
      </c>
      <c r="O163">
        <v>37</v>
      </c>
      <c r="P163">
        <v>25</v>
      </c>
      <c r="Q163">
        <v>25</v>
      </c>
      <c r="R163">
        <v>25</v>
      </c>
      <c r="S163">
        <v>13</v>
      </c>
      <c r="T163">
        <v>25</v>
      </c>
      <c r="U163">
        <v>25</v>
      </c>
      <c r="V163">
        <v>25</v>
      </c>
      <c r="W163">
        <v>37</v>
      </c>
      <c r="X163" s="4">
        <v>25</v>
      </c>
      <c r="Y163" s="4">
        <v>25</v>
      </c>
      <c r="Z163">
        <v>25</v>
      </c>
      <c r="AA163" s="4">
        <v>25</v>
      </c>
      <c r="AB163" s="4">
        <v>0</v>
      </c>
      <c r="AC163" s="4">
        <v>25</v>
      </c>
      <c r="AD163" s="4">
        <v>25</v>
      </c>
      <c r="AE163">
        <v>25</v>
      </c>
      <c r="AH163">
        <f>SUM(B163:AE163)</f>
        <v>695</v>
      </c>
      <c r="AI163" s="2" t="s">
        <v>5</v>
      </c>
    </row>
    <row r="164" spans="1:37" x14ac:dyDescent="0.3">
      <c r="A164" t="s">
        <v>14</v>
      </c>
      <c r="C164">
        <v>5</v>
      </c>
      <c r="Q164">
        <v>5</v>
      </c>
      <c r="AE164">
        <v>5</v>
      </c>
      <c r="AH164">
        <f>SUM(B164:AE164)</f>
        <v>15</v>
      </c>
      <c r="AI164" t="s">
        <v>14</v>
      </c>
    </row>
    <row r="165" spans="1:37" x14ac:dyDescent="0.3">
      <c r="A165" s="2" t="s">
        <v>0</v>
      </c>
      <c r="Q165" s="4">
        <v>60</v>
      </c>
      <c r="U165">
        <v>1000</v>
      </c>
      <c r="V165">
        <v>200</v>
      </c>
      <c r="AE165">
        <v>200</v>
      </c>
      <c r="AH165">
        <f t="shared" ref="AH165:AH181" si="8">SUM(B165:AE165)</f>
        <v>1460</v>
      </c>
      <c r="AI165" s="2" t="s">
        <v>0</v>
      </c>
    </row>
    <row r="166" spans="1:37" x14ac:dyDescent="0.3">
      <c r="A166" s="2" t="s">
        <v>16</v>
      </c>
      <c r="D166">
        <v>349</v>
      </c>
      <c r="J166">
        <v>10</v>
      </c>
      <c r="K166" s="4">
        <v>56</v>
      </c>
      <c r="L166">
        <v>30</v>
      </c>
      <c r="Q166">
        <v>110</v>
      </c>
      <c r="R166">
        <v>180</v>
      </c>
      <c r="W166">
        <v>15</v>
      </c>
      <c r="X166">
        <v>10</v>
      </c>
      <c r="Y166">
        <v>33</v>
      </c>
      <c r="Z166">
        <v>35</v>
      </c>
      <c r="AB166">
        <v>20</v>
      </c>
      <c r="AD166">
        <v>60</v>
      </c>
      <c r="AH166">
        <f t="shared" si="8"/>
        <v>908</v>
      </c>
      <c r="AI166" s="2" t="s">
        <v>16</v>
      </c>
    </row>
    <row r="167" spans="1:37" x14ac:dyDescent="0.3">
      <c r="A167" s="2" t="s">
        <v>34</v>
      </c>
      <c r="D167">
        <v>676.8</v>
      </c>
      <c r="Z167">
        <v>60</v>
      </c>
      <c r="AH167">
        <f t="shared" si="8"/>
        <v>736.8</v>
      </c>
      <c r="AI167" s="2" t="s">
        <v>34</v>
      </c>
    </row>
    <row r="168" spans="1:37" x14ac:dyDescent="0.3">
      <c r="A168" s="2" t="s">
        <v>18</v>
      </c>
      <c r="D168">
        <v>167.18</v>
      </c>
      <c r="H168">
        <v>22</v>
      </c>
      <c r="K168" s="4">
        <v>1688.3</v>
      </c>
      <c r="P168">
        <v>991</v>
      </c>
      <c r="Q168" s="4">
        <v>93.72</v>
      </c>
      <c r="V168">
        <v>110</v>
      </c>
      <c r="Z168">
        <v>80</v>
      </c>
      <c r="AH168">
        <f t="shared" si="8"/>
        <v>3152.2</v>
      </c>
      <c r="AI168" s="2" t="s">
        <v>18</v>
      </c>
    </row>
    <row r="169" spans="1:37" x14ac:dyDescent="0.3">
      <c r="A169" s="2" t="s">
        <v>2</v>
      </c>
      <c r="B169">
        <v>20</v>
      </c>
      <c r="D169">
        <v>40</v>
      </c>
      <c r="G169">
        <v>22</v>
      </c>
      <c r="J169">
        <v>16</v>
      </c>
      <c r="L169">
        <v>25</v>
      </c>
      <c r="O169">
        <v>64</v>
      </c>
      <c r="Q169">
        <v>23</v>
      </c>
      <c r="R169">
        <v>283</v>
      </c>
      <c r="X169">
        <v>50</v>
      </c>
      <c r="Y169">
        <v>40</v>
      </c>
      <c r="Z169">
        <v>87</v>
      </c>
      <c r="AB169">
        <v>77</v>
      </c>
      <c r="AC169">
        <v>90</v>
      </c>
      <c r="AD169">
        <v>72</v>
      </c>
      <c r="AH169">
        <f t="shared" si="8"/>
        <v>909</v>
      </c>
      <c r="AI169" s="2" t="s">
        <v>2</v>
      </c>
    </row>
    <row r="170" spans="1:37" x14ac:dyDescent="0.3">
      <c r="A170" s="2" t="s">
        <v>19</v>
      </c>
      <c r="D170">
        <v>112.8</v>
      </c>
      <c r="J170">
        <v>40</v>
      </c>
      <c r="K170" s="4">
        <v>70.5</v>
      </c>
      <c r="U170">
        <v>30</v>
      </c>
      <c r="Y170">
        <v>30</v>
      </c>
      <c r="AA170">
        <v>90</v>
      </c>
      <c r="AD170">
        <v>40</v>
      </c>
      <c r="AE170">
        <v>20</v>
      </c>
      <c r="AH170">
        <f t="shared" si="8"/>
        <v>433.3</v>
      </c>
      <c r="AI170" s="2" t="s">
        <v>19</v>
      </c>
    </row>
    <row r="171" spans="1:37" x14ac:dyDescent="0.3">
      <c r="A171" s="2" t="s">
        <v>7</v>
      </c>
      <c r="C171">
        <v>20</v>
      </c>
      <c r="D171">
        <v>30</v>
      </c>
      <c r="L171">
        <v>30</v>
      </c>
      <c r="R171">
        <v>50</v>
      </c>
      <c r="Z171">
        <v>40</v>
      </c>
      <c r="AH171">
        <f t="shared" si="8"/>
        <v>170</v>
      </c>
      <c r="AI171" s="2" t="s">
        <v>7</v>
      </c>
    </row>
    <row r="172" spans="1:37" x14ac:dyDescent="0.3">
      <c r="A172" s="2" t="s">
        <v>15</v>
      </c>
      <c r="K172">
        <v>360</v>
      </c>
      <c r="L172">
        <v>294</v>
      </c>
      <c r="M172">
        <v>262</v>
      </c>
      <c r="N172">
        <v>479</v>
      </c>
      <c r="AH172">
        <f t="shared" si="8"/>
        <v>1395</v>
      </c>
      <c r="AI172" s="2" t="s">
        <v>15</v>
      </c>
    </row>
    <row r="173" spans="1:37" x14ac:dyDescent="0.3">
      <c r="A173" s="2" t="s">
        <v>13</v>
      </c>
      <c r="H173">
        <v>200</v>
      </c>
      <c r="AH173">
        <f t="shared" si="8"/>
        <v>200</v>
      </c>
      <c r="AI173" s="2" t="s">
        <v>13</v>
      </c>
    </row>
    <row r="174" spans="1:37" x14ac:dyDescent="0.3">
      <c r="A174" s="2" t="s">
        <v>53</v>
      </c>
      <c r="R174">
        <v>30</v>
      </c>
      <c r="S174">
        <v>21</v>
      </c>
      <c r="AH174">
        <f t="shared" si="8"/>
        <v>51</v>
      </c>
      <c r="AI174" s="2" t="s">
        <v>53</v>
      </c>
    </row>
    <row r="175" spans="1:37" x14ac:dyDescent="0.3">
      <c r="A175" s="2" t="s">
        <v>20</v>
      </c>
      <c r="B175">
        <v>42</v>
      </c>
      <c r="D175">
        <v>100</v>
      </c>
      <c r="G175">
        <v>130</v>
      </c>
      <c r="I175">
        <v>24</v>
      </c>
      <c r="N175">
        <v>36</v>
      </c>
      <c r="Q175">
        <v>150</v>
      </c>
      <c r="U175">
        <v>209</v>
      </c>
      <c r="X175">
        <v>410</v>
      </c>
      <c r="AB175">
        <v>30</v>
      </c>
      <c r="AH175">
        <f t="shared" si="8"/>
        <v>1131</v>
      </c>
      <c r="AI175" s="2" t="s">
        <v>20</v>
      </c>
    </row>
    <row r="176" spans="1:37" x14ac:dyDescent="0.3">
      <c r="A176" s="2" t="s">
        <v>12</v>
      </c>
      <c r="K176">
        <v>40</v>
      </c>
      <c r="O176">
        <v>711</v>
      </c>
      <c r="Q176">
        <v>280</v>
      </c>
      <c r="AH176">
        <f t="shared" si="8"/>
        <v>1031</v>
      </c>
      <c r="AI176" s="2" t="s">
        <v>12</v>
      </c>
    </row>
    <row r="177" spans="1:37" x14ac:dyDescent="0.3">
      <c r="A177" s="2" t="s">
        <v>17</v>
      </c>
      <c r="P177">
        <v>70.709999999999994</v>
      </c>
      <c r="AH177">
        <f t="shared" si="8"/>
        <v>70.709999999999994</v>
      </c>
      <c r="AI177" s="2" t="s">
        <v>31</v>
      </c>
    </row>
    <row r="178" spans="1:37" x14ac:dyDescent="0.3">
      <c r="A178" s="2" t="s">
        <v>8</v>
      </c>
      <c r="H178">
        <v>20</v>
      </c>
      <c r="Q178">
        <v>100</v>
      </c>
      <c r="AH178">
        <f t="shared" si="8"/>
        <v>120</v>
      </c>
      <c r="AI178" s="2" t="s">
        <v>8</v>
      </c>
    </row>
    <row r="179" spans="1:37" x14ac:dyDescent="0.3">
      <c r="A179" s="2" t="s">
        <v>11</v>
      </c>
      <c r="U179">
        <v>920</v>
      </c>
      <c r="AH179">
        <f t="shared" si="8"/>
        <v>920</v>
      </c>
      <c r="AI179" s="2" t="s">
        <v>11</v>
      </c>
    </row>
    <row r="180" spans="1:37" x14ac:dyDescent="0.3">
      <c r="A180" s="2" t="s">
        <v>30</v>
      </c>
      <c r="X180">
        <v>10</v>
      </c>
      <c r="AH180">
        <f t="shared" si="8"/>
        <v>10</v>
      </c>
      <c r="AI180" s="2" t="s">
        <v>30</v>
      </c>
    </row>
    <row r="181" spans="1:37" x14ac:dyDescent="0.3">
      <c r="A181" s="2" t="s">
        <v>4</v>
      </c>
      <c r="Z181">
        <v>30</v>
      </c>
      <c r="AH181">
        <f t="shared" si="8"/>
        <v>30</v>
      </c>
      <c r="AI181" s="2" t="s">
        <v>4</v>
      </c>
    </row>
    <row r="182" spans="1:37" x14ac:dyDescent="0.3">
      <c r="Q182" s="6">
        <f>SUM(B163:AE181)</f>
        <v>13438.009999999998</v>
      </c>
      <c r="AK182">
        <f>SUM(AK161,Q182)</f>
        <v>247288.19999999998</v>
      </c>
    </row>
    <row r="183" spans="1:37" x14ac:dyDescent="0.3">
      <c r="B183" s="1">
        <v>45200</v>
      </c>
      <c r="C183" s="1">
        <v>45201</v>
      </c>
      <c r="D183" s="1">
        <v>45202</v>
      </c>
      <c r="E183" s="1">
        <v>45203</v>
      </c>
      <c r="F183" s="1">
        <v>45204</v>
      </c>
      <c r="G183" s="1">
        <v>45205</v>
      </c>
      <c r="H183" s="1">
        <v>45206</v>
      </c>
      <c r="I183" s="1">
        <v>45207</v>
      </c>
      <c r="J183" s="1">
        <v>45208</v>
      </c>
      <c r="K183" s="1">
        <v>45209</v>
      </c>
      <c r="L183" s="1">
        <v>45210</v>
      </c>
      <c r="M183" s="1">
        <v>45211</v>
      </c>
      <c r="N183" s="1">
        <v>45212</v>
      </c>
      <c r="O183" s="1">
        <v>45213</v>
      </c>
      <c r="P183" s="1">
        <v>45214</v>
      </c>
      <c r="Q183" s="1">
        <v>45215</v>
      </c>
      <c r="R183" s="1">
        <v>45216</v>
      </c>
      <c r="S183" s="1">
        <v>45217</v>
      </c>
      <c r="T183" s="1">
        <v>45218</v>
      </c>
      <c r="U183" s="1">
        <v>45219</v>
      </c>
      <c r="V183" s="1">
        <v>45220</v>
      </c>
      <c r="W183" s="1">
        <v>45221</v>
      </c>
      <c r="X183" s="1">
        <v>45222</v>
      </c>
      <c r="Y183" s="1">
        <v>45223</v>
      </c>
      <c r="Z183" s="1">
        <v>45224</v>
      </c>
      <c r="AA183" s="1">
        <v>45225</v>
      </c>
      <c r="AB183" s="1">
        <v>45226</v>
      </c>
      <c r="AC183" s="1">
        <v>45227</v>
      </c>
      <c r="AD183" s="1">
        <v>45228</v>
      </c>
      <c r="AE183" s="1">
        <v>45229</v>
      </c>
      <c r="AF183" s="1">
        <v>45230</v>
      </c>
    </row>
    <row r="184" spans="1:37" x14ac:dyDescent="0.3">
      <c r="A184" s="2" t="s">
        <v>5</v>
      </c>
      <c r="B184" s="4">
        <v>25</v>
      </c>
      <c r="C184" s="4">
        <v>25</v>
      </c>
      <c r="D184" s="4">
        <v>25</v>
      </c>
      <c r="E184">
        <v>25</v>
      </c>
      <c r="F184">
        <v>25</v>
      </c>
      <c r="G184">
        <v>25</v>
      </c>
      <c r="H184" s="4">
        <v>25</v>
      </c>
      <c r="I184">
        <v>0</v>
      </c>
      <c r="J184">
        <v>25</v>
      </c>
      <c r="K184" s="4">
        <v>25</v>
      </c>
      <c r="L184">
        <v>25</v>
      </c>
      <c r="M184">
        <v>25</v>
      </c>
      <c r="N184" s="4">
        <v>25</v>
      </c>
      <c r="O184">
        <v>25</v>
      </c>
      <c r="P184" s="4">
        <v>25</v>
      </c>
      <c r="Q184">
        <v>25</v>
      </c>
      <c r="R184" s="4">
        <v>25</v>
      </c>
      <c r="S184" s="4">
        <v>25</v>
      </c>
      <c r="T184" s="4">
        <v>25</v>
      </c>
      <c r="U184" s="4">
        <v>0</v>
      </c>
      <c r="V184" s="4">
        <v>25</v>
      </c>
      <c r="W184" s="4">
        <v>36.76</v>
      </c>
      <c r="X184" s="4">
        <v>25</v>
      </c>
      <c r="Y184">
        <v>26</v>
      </c>
      <c r="Z184" s="4">
        <v>0</v>
      </c>
      <c r="AA184" s="4">
        <v>25</v>
      </c>
      <c r="AB184" s="4">
        <v>25</v>
      </c>
      <c r="AC184">
        <v>26</v>
      </c>
      <c r="AD184" s="4">
        <v>51</v>
      </c>
      <c r="AE184" s="4">
        <v>0</v>
      </c>
      <c r="AF184" s="4">
        <v>51</v>
      </c>
      <c r="AH184">
        <f t="shared" ref="AH184:AH202" si="9">SUM(B184:AF184)</f>
        <v>740.76</v>
      </c>
      <c r="AI184" s="2" t="s">
        <v>5</v>
      </c>
    </row>
    <row r="185" spans="1:37" x14ac:dyDescent="0.3">
      <c r="A185" t="s">
        <v>14</v>
      </c>
      <c r="H185">
        <v>5</v>
      </c>
      <c r="O185">
        <v>5</v>
      </c>
      <c r="AH185">
        <f t="shared" si="9"/>
        <v>10</v>
      </c>
      <c r="AI185" t="s">
        <v>14</v>
      </c>
    </row>
    <row r="186" spans="1:37" x14ac:dyDescent="0.3">
      <c r="A186" s="2" t="s">
        <v>0</v>
      </c>
      <c r="H186">
        <v>200</v>
      </c>
      <c r="Y186">
        <v>1010</v>
      </c>
      <c r="AC186">
        <v>202</v>
      </c>
      <c r="AH186">
        <f t="shared" si="9"/>
        <v>1412</v>
      </c>
      <c r="AI186" s="2" t="s">
        <v>0</v>
      </c>
    </row>
    <row r="187" spans="1:37" x14ac:dyDescent="0.3">
      <c r="A187" s="2" t="s">
        <v>16</v>
      </c>
      <c r="B187">
        <v>5</v>
      </c>
      <c r="C187">
        <v>300</v>
      </c>
      <c r="D187">
        <v>38</v>
      </c>
      <c r="K187">
        <v>10</v>
      </c>
      <c r="O187">
        <v>397</v>
      </c>
      <c r="P187" s="4">
        <v>95.26</v>
      </c>
      <c r="R187">
        <v>10</v>
      </c>
      <c r="S187">
        <v>50</v>
      </c>
      <c r="V187">
        <v>5</v>
      </c>
      <c r="W187" s="4">
        <v>40</v>
      </c>
      <c r="X187">
        <v>40</v>
      </c>
      <c r="AA187">
        <v>15</v>
      </c>
      <c r="AB187">
        <v>40</v>
      </c>
      <c r="AC187">
        <v>45</v>
      </c>
      <c r="AD187" s="4">
        <v>22</v>
      </c>
      <c r="AF187" s="4">
        <v>22</v>
      </c>
      <c r="AH187">
        <f t="shared" si="9"/>
        <v>1134.26</v>
      </c>
      <c r="AI187" s="2" t="s">
        <v>16</v>
      </c>
    </row>
    <row r="188" spans="1:37" x14ac:dyDescent="0.3">
      <c r="A188" s="2" t="s">
        <v>34</v>
      </c>
      <c r="J188">
        <v>125</v>
      </c>
      <c r="AH188">
        <f t="shared" si="9"/>
        <v>125</v>
      </c>
      <c r="AI188" s="2" t="s">
        <v>34</v>
      </c>
    </row>
    <row r="189" spans="1:37" x14ac:dyDescent="0.3">
      <c r="A189" s="2" t="s">
        <v>18</v>
      </c>
      <c r="B189">
        <v>67.5</v>
      </c>
      <c r="J189">
        <v>1864.87</v>
      </c>
      <c r="N189" s="4">
        <v>100</v>
      </c>
      <c r="P189" s="4">
        <v>136</v>
      </c>
      <c r="S189">
        <v>200</v>
      </c>
      <c r="W189" s="4">
        <v>571.23</v>
      </c>
      <c r="AH189">
        <f t="shared" si="9"/>
        <v>2939.6</v>
      </c>
      <c r="AI189" s="2" t="s">
        <v>18</v>
      </c>
    </row>
    <row r="190" spans="1:37" x14ac:dyDescent="0.3">
      <c r="A190" s="2" t="s">
        <v>2</v>
      </c>
      <c r="B190">
        <v>50</v>
      </c>
      <c r="D190">
        <v>20</v>
      </c>
      <c r="F190">
        <v>32</v>
      </c>
      <c r="K190">
        <v>28</v>
      </c>
      <c r="M190">
        <v>60</v>
      </c>
      <c r="N190">
        <v>80</v>
      </c>
      <c r="O190">
        <v>20</v>
      </c>
      <c r="P190">
        <v>150</v>
      </c>
      <c r="S190">
        <v>30</v>
      </c>
      <c r="T190">
        <v>60</v>
      </c>
      <c r="V190">
        <v>60</v>
      </c>
      <c r="W190" s="4">
        <v>39.79</v>
      </c>
      <c r="Z190">
        <v>38</v>
      </c>
      <c r="AC190">
        <v>140</v>
      </c>
      <c r="AD190">
        <v>25</v>
      </c>
      <c r="AF190" s="4">
        <v>24</v>
      </c>
      <c r="AH190">
        <f t="shared" si="9"/>
        <v>856.79</v>
      </c>
      <c r="AI190" s="2" t="s">
        <v>2</v>
      </c>
    </row>
    <row r="191" spans="1:37" x14ac:dyDescent="0.3">
      <c r="A191" s="2" t="s">
        <v>19</v>
      </c>
      <c r="B191">
        <v>80</v>
      </c>
      <c r="H191">
        <v>105</v>
      </c>
      <c r="I191">
        <v>35</v>
      </c>
      <c r="K191">
        <v>35</v>
      </c>
      <c r="N191">
        <v>55</v>
      </c>
      <c r="P191">
        <v>100</v>
      </c>
      <c r="V191">
        <v>40</v>
      </c>
      <c r="AD191" s="4">
        <v>47</v>
      </c>
      <c r="AH191">
        <f t="shared" si="9"/>
        <v>497</v>
      </c>
      <c r="AI191" s="2" t="s">
        <v>19</v>
      </c>
    </row>
    <row r="192" spans="1:37" x14ac:dyDescent="0.3">
      <c r="A192" s="2" t="s">
        <v>7</v>
      </c>
      <c r="C192">
        <v>20</v>
      </c>
      <c r="K192">
        <v>20</v>
      </c>
      <c r="Q192">
        <v>40</v>
      </c>
      <c r="V192">
        <v>40</v>
      </c>
      <c r="X192">
        <v>80</v>
      </c>
      <c r="AH192">
        <f t="shared" si="9"/>
        <v>200</v>
      </c>
      <c r="AI192" s="2" t="s">
        <v>7</v>
      </c>
    </row>
    <row r="193" spans="1:42" x14ac:dyDescent="0.3">
      <c r="A193" s="2" t="s">
        <v>15</v>
      </c>
      <c r="K193">
        <v>262</v>
      </c>
      <c r="L193">
        <v>418</v>
      </c>
      <c r="M193">
        <v>300</v>
      </c>
      <c r="N193">
        <v>370</v>
      </c>
      <c r="AH193">
        <f t="shared" si="9"/>
        <v>1350</v>
      </c>
      <c r="AI193" s="2" t="s">
        <v>15</v>
      </c>
    </row>
    <row r="194" spans="1:42" x14ac:dyDescent="0.3">
      <c r="A194" s="2" t="s">
        <v>13</v>
      </c>
      <c r="H194">
        <v>200</v>
      </c>
      <c r="AH194">
        <f t="shared" si="9"/>
        <v>200</v>
      </c>
      <c r="AI194" s="2" t="s">
        <v>13</v>
      </c>
    </row>
    <row r="195" spans="1:42" x14ac:dyDescent="0.3">
      <c r="A195" s="2" t="s">
        <v>20</v>
      </c>
      <c r="B195">
        <v>25</v>
      </c>
      <c r="C195">
        <v>50</v>
      </c>
      <c r="F195">
        <v>10</v>
      </c>
      <c r="J195">
        <v>40</v>
      </c>
      <c r="L195">
        <v>90</v>
      </c>
      <c r="M195">
        <v>3411</v>
      </c>
      <c r="S195">
        <v>236</v>
      </c>
      <c r="Y195">
        <v>209</v>
      </c>
      <c r="AA195">
        <v>43</v>
      </c>
      <c r="AE195">
        <v>527</v>
      </c>
      <c r="AH195">
        <f t="shared" si="9"/>
        <v>4641</v>
      </c>
      <c r="AI195" s="2" t="s">
        <v>20</v>
      </c>
    </row>
    <row r="196" spans="1:42" x14ac:dyDescent="0.3">
      <c r="A196" s="2" t="s">
        <v>12</v>
      </c>
      <c r="N196">
        <v>10</v>
      </c>
      <c r="S196">
        <v>20</v>
      </c>
      <c r="Y196">
        <v>29816.26</v>
      </c>
      <c r="Z196">
        <v>1700</v>
      </c>
      <c r="AA196">
        <v>20</v>
      </c>
      <c r="AB196">
        <v>6</v>
      </c>
      <c r="AD196" s="4">
        <v>39</v>
      </c>
      <c r="AE196">
        <v>30</v>
      </c>
      <c r="AF196">
        <v>30</v>
      </c>
      <c r="AH196">
        <f t="shared" si="9"/>
        <v>31671.26</v>
      </c>
      <c r="AI196" s="2" t="s">
        <v>12</v>
      </c>
    </row>
    <row r="197" spans="1:42" x14ac:dyDescent="0.3">
      <c r="A197" s="2" t="s">
        <v>17</v>
      </c>
      <c r="G197">
        <v>1178.82</v>
      </c>
      <c r="N197">
        <v>841.34</v>
      </c>
      <c r="AH197">
        <f t="shared" si="9"/>
        <v>2020.1599999999999</v>
      </c>
      <c r="AI197" s="2" t="s">
        <v>17</v>
      </c>
    </row>
    <row r="198" spans="1:42" x14ac:dyDescent="0.3">
      <c r="A198" s="2" t="s">
        <v>22</v>
      </c>
      <c r="Y198">
        <v>495</v>
      </c>
      <c r="AH198">
        <f>SUM(B198:AF198)</f>
        <v>495</v>
      </c>
      <c r="AI198" s="2" t="s">
        <v>22</v>
      </c>
    </row>
    <row r="199" spans="1:42" x14ac:dyDescent="0.3">
      <c r="A199" s="2" t="s">
        <v>53</v>
      </c>
      <c r="W199">
        <v>30</v>
      </c>
      <c r="AH199">
        <f>SUM(B199:AF199)</f>
        <v>30</v>
      </c>
      <c r="AI199" s="2" t="s">
        <v>53</v>
      </c>
    </row>
    <row r="200" spans="1:42" x14ac:dyDescent="0.3">
      <c r="A200" s="2" t="s">
        <v>8</v>
      </c>
      <c r="B200">
        <v>209</v>
      </c>
      <c r="Y200">
        <v>19</v>
      </c>
      <c r="AD200">
        <v>10</v>
      </c>
      <c r="AH200">
        <f t="shared" si="9"/>
        <v>238</v>
      </c>
      <c r="AI200" s="2" t="s">
        <v>8</v>
      </c>
    </row>
    <row r="201" spans="1:42" x14ac:dyDescent="0.3">
      <c r="A201" s="2" t="s">
        <v>30</v>
      </c>
      <c r="B201">
        <v>65</v>
      </c>
      <c r="X201">
        <v>70</v>
      </c>
      <c r="Y201">
        <v>60</v>
      </c>
      <c r="AH201">
        <f t="shared" si="9"/>
        <v>195</v>
      </c>
      <c r="AI201" s="2" t="s">
        <v>30</v>
      </c>
    </row>
    <row r="202" spans="1:42" x14ac:dyDescent="0.3">
      <c r="A202" s="2" t="s">
        <v>4</v>
      </c>
      <c r="L202">
        <v>15</v>
      </c>
      <c r="W202">
        <v>10</v>
      </c>
      <c r="AD202">
        <v>10</v>
      </c>
      <c r="AH202">
        <f t="shared" si="9"/>
        <v>35</v>
      </c>
      <c r="AI202" s="2" t="s">
        <v>4</v>
      </c>
    </row>
    <row r="203" spans="1:42" x14ac:dyDescent="0.3">
      <c r="Q203" s="6">
        <f>SUM(B184:AF202)</f>
        <v>48790.829999999994</v>
      </c>
      <c r="R203">
        <v>-29808</v>
      </c>
      <c r="S203">
        <f>SUM(Q203:R203)</f>
        <v>18982.829999999994</v>
      </c>
      <c r="T203">
        <v>-3411</v>
      </c>
      <c r="U203">
        <f>SUM(S203:T203)</f>
        <v>15571.829999999994</v>
      </c>
      <c r="AK203">
        <f>SUM(AK182,Q203)</f>
        <v>296079.02999999997</v>
      </c>
    </row>
    <row r="204" spans="1:42" x14ac:dyDescent="0.3">
      <c r="B204" s="1">
        <v>45231</v>
      </c>
      <c r="C204" s="1">
        <v>45232</v>
      </c>
      <c r="D204" s="1">
        <v>45233</v>
      </c>
      <c r="E204" s="1">
        <v>45234</v>
      </c>
      <c r="F204" s="1">
        <v>45235</v>
      </c>
      <c r="G204" s="1">
        <v>45236</v>
      </c>
      <c r="H204" s="1">
        <v>45237</v>
      </c>
      <c r="I204" s="1">
        <v>45238</v>
      </c>
      <c r="J204" s="1">
        <v>45239</v>
      </c>
      <c r="K204" s="1">
        <v>45240</v>
      </c>
      <c r="L204" s="1">
        <v>45241</v>
      </c>
      <c r="M204" s="1">
        <v>45242</v>
      </c>
      <c r="N204" s="1">
        <v>45243</v>
      </c>
      <c r="O204" s="1">
        <v>45244</v>
      </c>
      <c r="P204" s="1">
        <v>45245</v>
      </c>
      <c r="Q204" s="1">
        <v>45246</v>
      </c>
      <c r="R204" s="1">
        <v>45247</v>
      </c>
      <c r="S204" s="1">
        <v>45248</v>
      </c>
      <c r="T204" s="1">
        <v>45249</v>
      </c>
      <c r="U204" s="1">
        <v>45250</v>
      </c>
      <c r="V204" s="1">
        <v>45251</v>
      </c>
      <c r="W204" s="1">
        <v>45252</v>
      </c>
      <c r="X204" s="1">
        <v>45253</v>
      </c>
      <c r="Y204" s="1">
        <v>45254</v>
      </c>
      <c r="Z204" s="1">
        <v>45255</v>
      </c>
      <c r="AA204" s="1">
        <v>45256</v>
      </c>
      <c r="AB204" s="1">
        <v>45257</v>
      </c>
      <c r="AC204" s="1">
        <v>45258</v>
      </c>
      <c r="AD204" s="1">
        <v>45259</v>
      </c>
      <c r="AE204" s="1">
        <v>45260</v>
      </c>
    </row>
    <row r="205" spans="1:42" x14ac:dyDescent="0.3">
      <c r="A205" s="2" t="s">
        <v>5</v>
      </c>
      <c r="B205" s="4">
        <v>22</v>
      </c>
      <c r="C205">
        <v>26</v>
      </c>
      <c r="D205">
        <v>22</v>
      </c>
      <c r="E205" s="4">
        <v>25</v>
      </c>
      <c r="F205" s="4">
        <v>26</v>
      </c>
      <c r="G205">
        <v>24</v>
      </c>
      <c r="H205">
        <v>48</v>
      </c>
      <c r="I205">
        <v>26</v>
      </c>
      <c r="J205">
        <v>0</v>
      </c>
      <c r="K205" s="4">
        <v>51</v>
      </c>
      <c r="L205">
        <v>26</v>
      </c>
      <c r="M205" s="4">
        <v>25</v>
      </c>
      <c r="N205">
        <v>0</v>
      </c>
      <c r="O205" s="4">
        <v>26</v>
      </c>
      <c r="P205">
        <v>22</v>
      </c>
      <c r="Q205" s="4">
        <v>22</v>
      </c>
      <c r="R205">
        <v>0</v>
      </c>
      <c r="S205">
        <v>26</v>
      </c>
      <c r="T205">
        <v>48</v>
      </c>
      <c r="U205">
        <v>22</v>
      </c>
      <c r="V205">
        <v>22</v>
      </c>
      <c r="W205">
        <v>26</v>
      </c>
      <c r="X205">
        <v>0</v>
      </c>
      <c r="Y205">
        <v>25</v>
      </c>
      <c r="Z205" s="4">
        <v>22</v>
      </c>
      <c r="AA205">
        <v>26</v>
      </c>
      <c r="AB205" s="4">
        <v>22</v>
      </c>
      <c r="AC205" s="4">
        <v>22</v>
      </c>
      <c r="AD205">
        <v>34</v>
      </c>
      <c r="AH205">
        <f>SUM(B205:AE205)</f>
        <v>686</v>
      </c>
      <c r="AI205" s="2" t="s">
        <v>5</v>
      </c>
    </row>
    <row r="206" spans="1:42" x14ac:dyDescent="0.3">
      <c r="A206" t="s">
        <v>14</v>
      </c>
      <c r="E206">
        <v>5</v>
      </c>
      <c r="AH206">
        <f>SUM(B206:AE206)</f>
        <v>5</v>
      </c>
      <c r="AI206" t="s">
        <v>14</v>
      </c>
      <c r="AL206" t="s">
        <v>65</v>
      </c>
      <c r="AM206" t="s">
        <v>66</v>
      </c>
      <c r="AN206">
        <v>385</v>
      </c>
      <c r="AO206" s="13">
        <v>308</v>
      </c>
      <c r="AP206" t="s">
        <v>73</v>
      </c>
    </row>
    <row r="207" spans="1:42" x14ac:dyDescent="0.3">
      <c r="A207" s="2" t="s">
        <v>0</v>
      </c>
      <c r="E207">
        <v>200</v>
      </c>
      <c r="Q207" s="5">
        <v>200</v>
      </c>
      <c r="S207">
        <v>200</v>
      </c>
      <c r="X207">
        <v>200</v>
      </c>
      <c r="AH207">
        <f t="shared" ref="AH207:AH224" si="10">SUM(B207:AE207)</f>
        <v>800</v>
      </c>
      <c r="AI207" s="2" t="s">
        <v>0</v>
      </c>
      <c r="AL207" t="s">
        <v>71</v>
      </c>
      <c r="AM207" t="s">
        <v>70</v>
      </c>
      <c r="AN207">
        <v>3682</v>
      </c>
      <c r="AO207" s="13">
        <v>2946</v>
      </c>
      <c r="AP207" t="s">
        <v>73</v>
      </c>
    </row>
    <row r="208" spans="1:42" x14ac:dyDescent="0.3">
      <c r="A208" s="2" t="s">
        <v>16</v>
      </c>
      <c r="C208">
        <v>128</v>
      </c>
      <c r="D208">
        <v>20</v>
      </c>
      <c r="E208">
        <v>30</v>
      </c>
      <c r="F208">
        <v>165</v>
      </c>
      <c r="J208">
        <v>28</v>
      </c>
      <c r="K208">
        <v>55</v>
      </c>
      <c r="M208">
        <v>110</v>
      </c>
      <c r="O208">
        <v>10</v>
      </c>
      <c r="S208">
        <v>20</v>
      </c>
      <c r="T208">
        <v>180</v>
      </c>
      <c r="W208">
        <v>15</v>
      </c>
      <c r="Z208" s="4">
        <v>26</v>
      </c>
      <c r="AA208">
        <v>370</v>
      </c>
      <c r="AD208">
        <v>30</v>
      </c>
      <c r="AH208">
        <f t="shared" si="10"/>
        <v>1187</v>
      </c>
      <c r="AI208" s="2" t="s">
        <v>16</v>
      </c>
      <c r="AL208" t="s">
        <v>63</v>
      </c>
      <c r="AM208" t="s">
        <v>64</v>
      </c>
      <c r="AN208">
        <v>150</v>
      </c>
      <c r="AO208" s="13">
        <v>120</v>
      </c>
      <c r="AP208" t="s">
        <v>73</v>
      </c>
    </row>
    <row r="209" spans="1:42" x14ac:dyDescent="0.3">
      <c r="A209" s="2" t="s">
        <v>34</v>
      </c>
      <c r="G209">
        <v>57</v>
      </c>
      <c r="K209">
        <v>223</v>
      </c>
      <c r="AA209">
        <v>290</v>
      </c>
      <c r="AH209">
        <f t="shared" si="10"/>
        <v>570</v>
      </c>
      <c r="AI209" s="2" t="s">
        <v>34</v>
      </c>
      <c r="AL209" t="s">
        <v>61</v>
      </c>
      <c r="AM209" t="s">
        <v>62</v>
      </c>
      <c r="AN209">
        <v>150</v>
      </c>
      <c r="AO209" s="13">
        <v>120</v>
      </c>
      <c r="AP209" t="s">
        <v>73</v>
      </c>
    </row>
    <row r="210" spans="1:42" x14ac:dyDescent="0.3">
      <c r="A210" s="2" t="s">
        <v>18</v>
      </c>
      <c r="E210">
        <v>245</v>
      </c>
      <c r="F210">
        <v>425</v>
      </c>
      <c r="G210" s="4">
        <v>607.80999999999995</v>
      </c>
      <c r="J210">
        <v>1035</v>
      </c>
      <c r="K210" s="4">
        <v>588.66999999999996</v>
      </c>
      <c r="O210" s="4">
        <v>318.87</v>
      </c>
      <c r="P210">
        <v>3</v>
      </c>
      <c r="Y210">
        <v>450</v>
      </c>
      <c r="Z210" s="4">
        <v>983</v>
      </c>
      <c r="AH210">
        <f t="shared" si="10"/>
        <v>4656.3500000000004</v>
      </c>
      <c r="AI210" s="2" t="s">
        <v>18</v>
      </c>
      <c r="AL210" t="s">
        <v>74</v>
      </c>
      <c r="AM210" t="s">
        <v>67</v>
      </c>
      <c r="AN210">
        <v>500</v>
      </c>
      <c r="AO210" s="13">
        <v>400</v>
      </c>
      <c r="AP210" t="s">
        <v>73</v>
      </c>
    </row>
    <row r="211" spans="1:42" x14ac:dyDescent="0.3">
      <c r="A211" s="2" t="s">
        <v>2</v>
      </c>
      <c r="B211">
        <v>85</v>
      </c>
      <c r="F211">
        <v>140</v>
      </c>
      <c r="J211">
        <v>50</v>
      </c>
      <c r="L211">
        <v>35</v>
      </c>
      <c r="M211">
        <v>20</v>
      </c>
      <c r="N211">
        <v>120</v>
      </c>
      <c r="O211">
        <v>50</v>
      </c>
      <c r="R211">
        <v>71</v>
      </c>
      <c r="S211">
        <v>30</v>
      </c>
      <c r="T211">
        <v>310</v>
      </c>
      <c r="U211">
        <v>35</v>
      </c>
      <c r="V211">
        <v>45</v>
      </c>
      <c r="AA211">
        <v>70</v>
      </c>
      <c r="AC211">
        <v>40</v>
      </c>
      <c r="AE211">
        <v>37</v>
      </c>
      <c r="AH211">
        <f t="shared" si="10"/>
        <v>1138</v>
      </c>
      <c r="AI211" s="2" t="s">
        <v>2</v>
      </c>
      <c r="AL211" t="s">
        <v>75</v>
      </c>
      <c r="AM211" t="s">
        <v>68</v>
      </c>
      <c r="AN211">
        <v>200</v>
      </c>
      <c r="AO211" s="13">
        <v>160</v>
      </c>
      <c r="AP211" t="s">
        <v>73</v>
      </c>
    </row>
    <row r="212" spans="1:42" x14ac:dyDescent="0.3">
      <c r="A212" s="2" t="s">
        <v>19</v>
      </c>
      <c r="B212">
        <v>10</v>
      </c>
      <c r="E212">
        <v>60</v>
      </c>
      <c r="F212" s="4">
        <v>61</v>
      </c>
      <c r="G212">
        <v>15</v>
      </c>
      <c r="I212">
        <v>30</v>
      </c>
      <c r="O212" s="4">
        <v>47</v>
      </c>
      <c r="S212">
        <v>110</v>
      </c>
      <c r="X212">
        <v>30</v>
      </c>
      <c r="AD212">
        <v>20</v>
      </c>
      <c r="AH212">
        <f t="shared" si="10"/>
        <v>383</v>
      </c>
      <c r="AI212" s="2" t="s">
        <v>19</v>
      </c>
      <c r="AL212" t="s">
        <v>72</v>
      </c>
      <c r="AM212" t="s">
        <v>69</v>
      </c>
      <c r="AN212">
        <v>150</v>
      </c>
      <c r="AO212" s="13">
        <v>120</v>
      </c>
      <c r="AP212" t="s">
        <v>73</v>
      </c>
    </row>
    <row r="213" spans="1:42" x14ac:dyDescent="0.3">
      <c r="A213" s="2" t="s">
        <v>7</v>
      </c>
      <c r="B213">
        <v>30</v>
      </c>
      <c r="K213">
        <v>30</v>
      </c>
      <c r="M213">
        <v>30</v>
      </c>
      <c r="O213">
        <v>70</v>
      </c>
      <c r="P213">
        <v>30</v>
      </c>
      <c r="V213">
        <v>30</v>
      </c>
      <c r="Y213">
        <v>50</v>
      </c>
      <c r="AC213">
        <v>30</v>
      </c>
      <c r="AH213">
        <f t="shared" si="10"/>
        <v>300</v>
      </c>
      <c r="AI213" s="2" t="s">
        <v>7</v>
      </c>
    </row>
    <row r="214" spans="1:42" x14ac:dyDescent="0.3">
      <c r="A214" s="2" t="s">
        <v>15</v>
      </c>
      <c r="H214">
        <v>292</v>
      </c>
      <c r="I214">
        <v>438</v>
      </c>
      <c r="J214">
        <v>258</v>
      </c>
      <c r="K214">
        <v>342</v>
      </c>
      <c r="AH214">
        <f t="shared" si="10"/>
        <v>1330</v>
      </c>
      <c r="AI214" s="2" t="s">
        <v>15</v>
      </c>
      <c r="AN214">
        <f>SUM(AN206:AN212)</f>
        <v>5217</v>
      </c>
      <c r="AO214">
        <f>SUM(AO206:AO212)</f>
        <v>4174</v>
      </c>
    </row>
    <row r="215" spans="1:42" x14ac:dyDescent="0.3">
      <c r="A215" s="2" t="s">
        <v>13</v>
      </c>
      <c r="H215">
        <v>200</v>
      </c>
      <c r="AH215">
        <f t="shared" si="10"/>
        <v>200</v>
      </c>
      <c r="AI215" s="2" t="s">
        <v>13</v>
      </c>
      <c r="AO215" s="13">
        <v>-240</v>
      </c>
    </row>
    <row r="216" spans="1:42" x14ac:dyDescent="0.3">
      <c r="A216" s="2" t="s">
        <v>10</v>
      </c>
      <c r="B216">
        <v>150</v>
      </c>
      <c r="AH216">
        <f t="shared" si="10"/>
        <v>150</v>
      </c>
      <c r="AI216" s="2" t="s">
        <v>10</v>
      </c>
    </row>
    <row r="217" spans="1:42" x14ac:dyDescent="0.3">
      <c r="A217" s="2" t="s">
        <v>20</v>
      </c>
      <c r="B217">
        <v>20</v>
      </c>
      <c r="C217">
        <v>200</v>
      </c>
      <c r="D217" s="4">
        <v>36</v>
      </c>
      <c r="L217">
        <v>240</v>
      </c>
      <c r="P217">
        <v>136</v>
      </c>
      <c r="Q217">
        <v>771</v>
      </c>
      <c r="S217">
        <v>40</v>
      </c>
      <c r="U217">
        <v>20</v>
      </c>
      <c r="V217">
        <v>261</v>
      </c>
      <c r="W217">
        <v>20</v>
      </c>
      <c r="X217">
        <v>20</v>
      </c>
      <c r="Y217">
        <v>20</v>
      </c>
      <c r="Z217">
        <v>100</v>
      </c>
      <c r="AA217">
        <v>20</v>
      </c>
      <c r="AB217">
        <v>20</v>
      </c>
      <c r="AD217">
        <v>150</v>
      </c>
      <c r="AH217">
        <f t="shared" si="10"/>
        <v>2074</v>
      </c>
      <c r="AI217" s="2" t="s">
        <v>20</v>
      </c>
    </row>
    <row r="218" spans="1:42" x14ac:dyDescent="0.3">
      <c r="A218" s="2" t="s">
        <v>12</v>
      </c>
      <c r="B218">
        <v>10</v>
      </c>
      <c r="N218">
        <v>96</v>
      </c>
      <c r="P218">
        <v>90</v>
      </c>
      <c r="W218">
        <v>25</v>
      </c>
      <c r="AA218">
        <v>100</v>
      </c>
      <c r="AB218">
        <v>40</v>
      </c>
      <c r="AC218">
        <v>20</v>
      </c>
      <c r="AD218">
        <v>1670</v>
      </c>
      <c r="AH218">
        <f t="shared" si="10"/>
        <v>2051</v>
      </c>
      <c r="AI218" s="2" t="s">
        <v>12</v>
      </c>
    </row>
    <row r="219" spans="1:42" x14ac:dyDescent="0.3">
      <c r="A219" s="2" t="s">
        <v>17</v>
      </c>
      <c r="L219">
        <v>201</v>
      </c>
      <c r="O219">
        <v>333.67</v>
      </c>
      <c r="AH219">
        <f t="shared" si="10"/>
        <v>534.67000000000007</v>
      </c>
      <c r="AI219" s="2" t="s">
        <v>17</v>
      </c>
    </row>
    <row r="220" spans="1:42" x14ac:dyDescent="0.3">
      <c r="A220" s="2" t="s">
        <v>54</v>
      </c>
      <c r="Y220">
        <v>920</v>
      </c>
      <c r="AH220">
        <f t="shared" si="10"/>
        <v>920</v>
      </c>
      <c r="AI220" s="2" t="s">
        <v>54</v>
      </c>
    </row>
    <row r="221" spans="1:42" x14ac:dyDescent="0.3">
      <c r="A221" s="2" t="s">
        <v>53</v>
      </c>
      <c r="M221">
        <v>990</v>
      </c>
      <c r="O221">
        <v>1500</v>
      </c>
      <c r="Y221">
        <v>30</v>
      </c>
      <c r="AH221">
        <f t="shared" si="10"/>
        <v>2520</v>
      </c>
      <c r="AI221" s="2" t="s">
        <v>53</v>
      </c>
    </row>
    <row r="222" spans="1:42" x14ac:dyDescent="0.3">
      <c r="A222" s="2" t="s">
        <v>8</v>
      </c>
      <c r="B222">
        <v>209</v>
      </c>
      <c r="P222">
        <v>10</v>
      </c>
      <c r="Q222">
        <v>385</v>
      </c>
      <c r="S222" s="5">
        <v>3722</v>
      </c>
      <c r="T222" s="5">
        <v>210</v>
      </c>
      <c r="U222" s="5">
        <v>230</v>
      </c>
      <c r="V222" s="5">
        <v>590</v>
      </c>
      <c r="W222" s="5">
        <v>390</v>
      </c>
      <c r="X222" s="5">
        <v>190</v>
      </c>
      <c r="Y222">
        <v>40</v>
      </c>
      <c r="AH222">
        <f t="shared" si="10"/>
        <v>5976</v>
      </c>
      <c r="AI222" s="2" t="s">
        <v>8</v>
      </c>
    </row>
    <row r="223" spans="1:42" x14ac:dyDescent="0.3">
      <c r="A223" s="2" t="s">
        <v>30</v>
      </c>
      <c r="O223">
        <v>40</v>
      </c>
      <c r="AH223">
        <f t="shared" si="10"/>
        <v>40</v>
      </c>
      <c r="AI223" s="2" t="s">
        <v>30</v>
      </c>
    </row>
    <row r="224" spans="1:42" x14ac:dyDescent="0.3">
      <c r="A224" s="2" t="s">
        <v>4</v>
      </c>
      <c r="AC224">
        <v>10</v>
      </c>
      <c r="AH224">
        <f t="shared" si="10"/>
        <v>10</v>
      </c>
      <c r="AI224" s="2" t="s">
        <v>4</v>
      </c>
    </row>
    <row r="225" spans="1:37" x14ac:dyDescent="0.3">
      <c r="Q225" s="6">
        <f>SUM(B205:AE224)</f>
        <v>25531.019999999997</v>
      </c>
      <c r="AK225">
        <f>SUM(AK203,Q225)</f>
        <v>321610.05</v>
      </c>
    </row>
    <row r="226" spans="1:37" x14ac:dyDescent="0.3">
      <c r="B226" s="1">
        <v>45261</v>
      </c>
      <c r="C226" s="1">
        <v>45262</v>
      </c>
      <c r="D226" s="1">
        <v>45263</v>
      </c>
      <c r="E226" s="1">
        <v>45264</v>
      </c>
      <c r="F226" s="1">
        <v>45265</v>
      </c>
      <c r="G226" s="1">
        <v>45266</v>
      </c>
      <c r="H226" s="1">
        <v>45267</v>
      </c>
      <c r="I226" s="1">
        <v>45268</v>
      </c>
      <c r="J226" s="1">
        <v>45269</v>
      </c>
      <c r="K226" s="1">
        <v>45270</v>
      </c>
      <c r="L226" s="1">
        <v>45271</v>
      </c>
      <c r="M226" s="1">
        <v>45272</v>
      </c>
      <c r="N226" s="1">
        <v>45273</v>
      </c>
      <c r="O226" s="1">
        <v>45274</v>
      </c>
      <c r="P226" s="1">
        <v>45275</v>
      </c>
      <c r="Q226" s="1">
        <v>45276</v>
      </c>
      <c r="R226" s="1">
        <v>45277</v>
      </c>
      <c r="S226" s="1">
        <v>45278</v>
      </c>
      <c r="T226" s="1">
        <v>45279</v>
      </c>
      <c r="U226" s="1">
        <v>45280</v>
      </c>
      <c r="V226" s="1">
        <v>45281</v>
      </c>
      <c r="W226" s="1">
        <v>45282</v>
      </c>
      <c r="X226" s="1">
        <v>45283</v>
      </c>
      <c r="Y226" s="1">
        <v>45284</v>
      </c>
      <c r="Z226" s="1">
        <v>45285</v>
      </c>
      <c r="AA226" s="1">
        <v>45286</v>
      </c>
      <c r="AB226" s="1">
        <v>45287</v>
      </c>
      <c r="AC226" s="1">
        <v>45288</v>
      </c>
      <c r="AD226" s="1">
        <v>45289</v>
      </c>
      <c r="AE226" s="1">
        <v>45290</v>
      </c>
      <c r="AF226" s="1">
        <v>45291</v>
      </c>
    </row>
    <row r="227" spans="1:37" x14ac:dyDescent="0.3">
      <c r="A227" s="2" t="s">
        <v>5</v>
      </c>
      <c r="B227">
        <v>34</v>
      </c>
      <c r="C227">
        <v>12</v>
      </c>
      <c r="D227">
        <v>48</v>
      </c>
      <c r="E227">
        <v>22</v>
      </c>
      <c r="F227">
        <v>22</v>
      </c>
      <c r="G227">
        <v>22</v>
      </c>
      <c r="H227">
        <v>22</v>
      </c>
      <c r="I227">
        <v>0</v>
      </c>
      <c r="J227" s="4">
        <v>33.76</v>
      </c>
      <c r="K227">
        <v>0</v>
      </c>
      <c r="L227">
        <v>34</v>
      </c>
      <c r="M227">
        <v>34</v>
      </c>
      <c r="N227" s="4">
        <v>22</v>
      </c>
      <c r="O227">
        <v>0</v>
      </c>
      <c r="P227" s="4">
        <v>22</v>
      </c>
      <c r="Q227">
        <v>12</v>
      </c>
      <c r="R227">
        <v>13</v>
      </c>
      <c r="S227">
        <v>37</v>
      </c>
      <c r="T227" s="4">
        <v>26</v>
      </c>
      <c r="U227">
        <v>22</v>
      </c>
      <c r="V227">
        <v>34</v>
      </c>
      <c r="W227">
        <v>34</v>
      </c>
      <c r="X227" s="4">
        <v>48</v>
      </c>
      <c r="Y227">
        <v>0</v>
      </c>
      <c r="Z227" s="4">
        <v>25</v>
      </c>
      <c r="AA227" s="4">
        <v>22</v>
      </c>
      <c r="AB227">
        <v>34</v>
      </c>
      <c r="AC227" s="4">
        <v>12</v>
      </c>
      <c r="AD227" s="4">
        <v>34</v>
      </c>
      <c r="AE227">
        <v>22</v>
      </c>
      <c r="AF227">
        <v>35</v>
      </c>
      <c r="AH227">
        <f>SUM(B227:AF227)</f>
        <v>737.76</v>
      </c>
      <c r="AI227" s="2" t="s">
        <v>5</v>
      </c>
    </row>
    <row r="228" spans="1:37" x14ac:dyDescent="0.3">
      <c r="A228" t="s">
        <v>14</v>
      </c>
      <c r="Q228">
        <v>5</v>
      </c>
      <c r="AE228">
        <v>5</v>
      </c>
      <c r="AH228">
        <f>SUM(B228:AF228)</f>
        <v>10</v>
      </c>
      <c r="AI228" t="s">
        <v>14</v>
      </c>
    </row>
    <row r="229" spans="1:37" x14ac:dyDescent="0.3">
      <c r="A229" s="2" t="s">
        <v>0</v>
      </c>
      <c r="D229" s="5">
        <v>200</v>
      </c>
      <c r="F229">
        <v>1000</v>
      </c>
      <c r="O229">
        <v>200</v>
      </c>
      <c r="Q229" s="5">
        <v>200</v>
      </c>
      <c r="Z229">
        <v>200</v>
      </c>
      <c r="AA229" s="5">
        <v>200</v>
      </c>
      <c r="AH229">
        <f t="shared" ref="AH229:AH243" si="11">SUM(B229:AF229)</f>
        <v>2000</v>
      </c>
      <c r="AI229" s="2" t="s">
        <v>0</v>
      </c>
    </row>
    <row r="230" spans="1:37" x14ac:dyDescent="0.3">
      <c r="A230" s="2" t="s">
        <v>16</v>
      </c>
      <c r="D230">
        <v>30</v>
      </c>
      <c r="G230">
        <v>10</v>
      </c>
      <c r="I230">
        <v>50</v>
      </c>
      <c r="J230" s="4">
        <v>76.430000000000007</v>
      </c>
      <c r="K230">
        <v>325</v>
      </c>
      <c r="N230">
        <v>53</v>
      </c>
      <c r="P230">
        <v>198</v>
      </c>
      <c r="T230">
        <v>20</v>
      </c>
      <c r="V230">
        <v>10</v>
      </c>
      <c r="W230">
        <v>20</v>
      </c>
      <c r="Y230">
        <v>190</v>
      </c>
      <c r="Z230" s="4">
        <v>26</v>
      </c>
      <c r="AA230">
        <v>20</v>
      </c>
      <c r="AB230">
        <v>10</v>
      </c>
      <c r="AD230">
        <v>285</v>
      </c>
      <c r="AF230">
        <v>50</v>
      </c>
      <c r="AH230">
        <f t="shared" si="11"/>
        <v>1373.43</v>
      </c>
      <c r="AI230" s="2" t="s">
        <v>16</v>
      </c>
    </row>
    <row r="231" spans="1:37" x14ac:dyDescent="0.3">
      <c r="A231" s="2" t="s">
        <v>34</v>
      </c>
      <c r="I231">
        <v>340</v>
      </c>
      <c r="Z231">
        <v>342</v>
      </c>
      <c r="AH231">
        <f t="shared" si="11"/>
        <v>682</v>
      </c>
      <c r="AI231" s="2" t="s">
        <v>34</v>
      </c>
    </row>
    <row r="232" spans="1:37" x14ac:dyDescent="0.3">
      <c r="A232" s="2" t="s">
        <v>18</v>
      </c>
      <c r="H232">
        <v>45</v>
      </c>
      <c r="I232">
        <v>50</v>
      </c>
      <c r="J232" s="4">
        <v>935.07</v>
      </c>
      <c r="K232">
        <v>10</v>
      </c>
      <c r="Q232">
        <v>850</v>
      </c>
      <c r="S232">
        <v>50</v>
      </c>
      <c r="T232" s="4">
        <v>112</v>
      </c>
      <c r="Z232" s="4">
        <v>276.74</v>
      </c>
      <c r="AA232">
        <v>110</v>
      </c>
      <c r="AC232" s="4">
        <v>299</v>
      </c>
      <c r="AD232">
        <v>60</v>
      </c>
      <c r="AF232">
        <v>110</v>
      </c>
      <c r="AH232">
        <f t="shared" si="11"/>
        <v>2907.8100000000004</v>
      </c>
      <c r="AI232" s="2" t="s">
        <v>18</v>
      </c>
    </row>
    <row r="233" spans="1:37" x14ac:dyDescent="0.3">
      <c r="A233" s="2" t="s">
        <v>2</v>
      </c>
      <c r="C233">
        <v>38</v>
      </c>
      <c r="D233">
        <v>110</v>
      </c>
      <c r="G233">
        <v>30</v>
      </c>
      <c r="I233">
        <v>27</v>
      </c>
      <c r="K233">
        <v>110</v>
      </c>
      <c r="P233">
        <v>155</v>
      </c>
      <c r="T233">
        <v>25</v>
      </c>
      <c r="V233">
        <v>40</v>
      </c>
      <c r="X233">
        <v>48</v>
      </c>
      <c r="Z233">
        <v>75</v>
      </c>
      <c r="AA233">
        <v>43</v>
      </c>
      <c r="AD233">
        <v>80</v>
      </c>
      <c r="AH233">
        <f t="shared" si="11"/>
        <v>781</v>
      </c>
      <c r="AI233" s="2" t="s">
        <v>2</v>
      </c>
    </row>
    <row r="234" spans="1:37" x14ac:dyDescent="0.3">
      <c r="A234" s="2" t="s">
        <v>19</v>
      </c>
      <c r="E234">
        <v>35</v>
      </c>
      <c r="J234" s="4">
        <v>61.1</v>
      </c>
      <c r="K234">
        <v>60</v>
      </c>
      <c r="P234">
        <v>40</v>
      </c>
      <c r="S234">
        <v>180</v>
      </c>
      <c r="Y234">
        <v>60</v>
      </c>
      <c r="Z234">
        <v>108.34</v>
      </c>
      <c r="AA234">
        <v>35</v>
      </c>
      <c r="AD234">
        <v>65</v>
      </c>
      <c r="AH234">
        <f t="shared" si="11"/>
        <v>644.44000000000005</v>
      </c>
      <c r="AI234" s="2" t="s">
        <v>19</v>
      </c>
    </row>
    <row r="235" spans="1:37" x14ac:dyDescent="0.3">
      <c r="A235" s="2" t="s">
        <v>7</v>
      </c>
      <c r="C235">
        <v>40</v>
      </c>
      <c r="P235">
        <v>80</v>
      </c>
      <c r="AB235">
        <v>30</v>
      </c>
      <c r="AD235">
        <v>50</v>
      </c>
      <c r="AH235">
        <f t="shared" si="11"/>
        <v>200</v>
      </c>
      <c r="AI235" s="2" t="s">
        <v>7</v>
      </c>
    </row>
    <row r="236" spans="1:37" x14ac:dyDescent="0.3">
      <c r="A236" s="2" t="s">
        <v>15</v>
      </c>
      <c r="K236">
        <v>314</v>
      </c>
      <c r="L236">
        <v>291</v>
      </c>
      <c r="M236">
        <v>449</v>
      </c>
      <c r="N236">
        <v>257</v>
      </c>
      <c r="AH236">
        <f t="shared" si="11"/>
        <v>1311</v>
      </c>
      <c r="AI236" s="2" t="s">
        <v>15</v>
      </c>
    </row>
    <row r="237" spans="1:37" x14ac:dyDescent="0.3">
      <c r="A237" s="2" t="s">
        <v>13</v>
      </c>
      <c r="K237">
        <v>200</v>
      </c>
      <c r="AH237">
        <f t="shared" si="11"/>
        <v>200</v>
      </c>
      <c r="AI237" s="2" t="s">
        <v>13</v>
      </c>
    </row>
    <row r="238" spans="1:37" x14ac:dyDescent="0.3">
      <c r="A238" s="2" t="s">
        <v>10</v>
      </c>
      <c r="H238">
        <v>310</v>
      </c>
      <c r="AH238">
        <f t="shared" si="11"/>
        <v>310</v>
      </c>
      <c r="AI238" s="2" t="s">
        <v>10</v>
      </c>
    </row>
    <row r="239" spans="1:37" x14ac:dyDescent="0.3">
      <c r="A239" s="2" t="s">
        <v>20</v>
      </c>
      <c r="B239">
        <v>120</v>
      </c>
      <c r="E239">
        <v>150</v>
      </c>
      <c r="K239">
        <v>30</v>
      </c>
      <c r="M239">
        <v>52</v>
      </c>
      <c r="R239">
        <v>400</v>
      </c>
      <c r="S239">
        <v>9</v>
      </c>
      <c r="W239">
        <v>365</v>
      </c>
      <c r="Y239">
        <v>940</v>
      </c>
      <c r="AB239">
        <v>15</v>
      </c>
      <c r="AF239">
        <v>100</v>
      </c>
      <c r="AH239">
        <f t="shared" si="11"/>
        <v>2181</v>
      </c>
      <c r="AI239" s="2" t="s">
        <v>20</v>
      </c>
    </row>
    <row r="240" spans="1:37" x14ac:dyDescent="0.3">
      <c r="A240" s="2" t="s">
        <v>12</v>
      </c>
      <c r="D240">
        <v>90</v>
      </c>
      <c r="M240">
        <v>683</v>
      </c>
      <c r="R240">
        <v>200</v>
      </c>
      <c r="S240">
        <v>20</v>
      </c>
      <c r="T240">
        <v>50</v>
      </c>
      <c r="AB240">
        <v>8</v>
      </c>
      <c r="AF240">
        <v>50</v>
      </c>
      <c r="AH240">
        <f t="shared" si="11"/>
        <v>1101</v>
      </c>
      <c r="AI240" s="2" t="s">
        <v>12</v>
      </c>
    </row>
    <row r="241" spans="1:37" x14ac:dyDescent="0.3">
      <c r="A241" s="2" t="s">
        <v>17</v>
      </c>
      <c r="P241">
        <v>1178.82</v>
      </c>
      <c r="AH241">
        <f t="shared" si="11"/>
        <v>1178.82</v>
      </c>
      <c r="AI241" s="2" t="s">
        <v>17</v>
      </c>
    </row>
    <row r="242" spans="1:37" x14ac:dyDescent="0.3">
      <c r="A242" s="2" t="s">
        <v>8</v>
      </c>
      <c r="G242">
        <v>209</v>
      </c>
      <c r="K242" s="5">
        <v>290</v>
      </c>
      <c r="Q242">
        <v>776</v>
      </c>
      <c r="Z242">
        <v>145</v>
      </c>
      <c r="AA242">
        <v>50</v>
      </c>
      <c r="AH242">
        <f t="shared" si="11"/>
        <v>1470</v>
      </c>
      <c r="AI242" s="2" t="s">
        <v>8</v>
      </c>
    </row>
    <row r="243" spans="1:37" x14ac:dyDescent="0.3">
      <c r="A243" s="2" t="s">
        <v>4</v>
      </c>
      <c r="D243">
        <v>100</v>
      </c>
      <c r="K243">
        <v>15</v>
      </c>
      <c r="O243">
        <v>15</v>
      </c>
      <c r="P243">
        <v>55</v>
      </c>
      <c r="Z243">
        <v>200</v>
      </c>
      <c r="AA243">
        <v>10</v>
      </c>
      <c r="AB243">
        <v>50</v>
      </c>
      <c r="AD243" s="4">
        <v>10</v>
      </c>
      <c r="AH243">
        <f t="shared" si="11"/>
        <v>455</v>
      </c>
      <c r="AI243" s="2" t="s">
        <v>4</v>
      </c>
    </row>
    <row r="244" spans="1:37" x14ac:dyDescent="0.3">
      <c r="Q244" s="6">
        <f>SUM(B227:AF243)</f>
        <v>17543.260000000002</v>
      </c>
      <c r="AK244">
        <f>SUM(AK225,Q244)</f>
        <v>339153.31</v>
      </c>
    </row>
    <row r="245" spans="1:37" x14ac:dyDescent="0.3">
      <c r="AK245">
        <v>24000</v>
      </c>
    </row>
    <row r="246" spans="1:37" x14ac:dyDescent="0.3">
      <c r="AK246">
        <f>SUM(AK244:AK245)</f>
        <v>363153.31</v>
      </c>
    </row>
    <row r="247" spans="1:37" x14ac:dyDescent="0.3">
      <c r="AK247">
        <v>18000</v>
      </c>
    </row>
    <row r="248" spans="1:37" x14ac:dyDescent="0.3">
      <c r="AK248">
        <f>SUM(AK246:AK247)</f>
        <v>381153.31</v>
      </c>
    </row>
    <row r="249" spans="1:37" x14ac:dyDescent="0.3">
      <c r="AK249">
        <v>-700</v>
      </c>
    </row>
    <row r="250" spans="1:37" x14ac:dyDescent="0.3">
      <c r="E250" s="12" t="s">
        <v>76</v>
      </c>
      <c r="F250">
        <v>20960</v>
      </c>
      <c r="G250">
        <v>16987</v>
      </c>
      <c r="AK250">
        <v>-4174</v>
      </c>
    </row>
    <row r="251" spans="1:37" x14ac:dyDescent="0.3">
      <c r="E251" s="12" t="s">
        <v>77</v>
      </c>
      <c r="F251">
        <v>15891</v>
      </c>
      <c r="G251">
        <v>17564</v>
      </c>
      <c r="AK251">
        <v>-621</v>
      </c>
    </row>
    <row r="252" spans="1:37" x14ac:dyDescent="0.3">
      <c r="E252" s="12" t="s">
        <v>78</v>
      </c>
      <c r="F252">
        <v>24710</v>
      </c>
      <c r="G252">
        <v>16157</v>
      </c>
      <c r="AK252">
        <f>SUM(AK248:AK251)</f>
        <v>375658.31</v>
      </c>
    </row>
    <row r="253" spans="1:37" x14ac:dyDescent="0.3">
      <c r="E253" s="12" t="s">
        <v>79</v>
      </c>
      <c r="F253">
        <v>83709</v>
      </c>
      <c r="G253">
        <v>85932</v>
      </c>
      <c r="AK253">
        <v>-50707</v>
      </c>
    </row>
    <row r="254" spans="1:37" x14ac:dyDescent="0.3">
      <c r="E254" s="12" t="s">
        <v>80</v>
      </c>
      <c r="F254">
        <v>32137</v>
      </c>
      <c r="G254">
        <v>24002</v>
      </c>
      <c r="AK254">
        <f>SUM(AK252:AK253)</f>
        <v>324951.31</v>
      </c>
    </row>
    <row r="255" spans="1:37" x14ac:dyDescent="0.3">
      <c r="E255" s="12" t="s">
        <v>81</v>
      </c>
      <c r="F255">
        <v>19277</v>
      </c>
      <c r="G255">
        <v>32656</v>
      </c>
    </row>
    <row r="256" spans="1:37" x14ac:dyDescent="0.3">
      <c r="E256" s="12" t="s">
        <v>82</v>
      </c>
      <c r="F256">
        <v>32259</v>
      </c>
      <c r="G256">
        <v>23320</v>
      </c>
    </row>
    <row r="257" spans="5:7" x14ac:dyDescent="0.3">
      <c r="E257" s="12" t="s">
        <v>83</v>
      </c>
      <c r="F257">
        <v>17998</v>
      </c>
      <c r="G257">
        <v>17231</v>
      </c>
    </row>
    <row r="258" spans="5:7" x14ac:dyDescent="0.3">
      <c r="E258" s="12" t="s">
        <v>84</v>
      </c>
      <c r="F258">
        <v>17451</v>
      </c>
      <c r="G258">
        <v>13438</v>
      </c>
    </row>
    <row r="259" spans="5:7" x14ac:dyDescent="0.3">
      <c r="E259" s="12" t="s">
        <v>85</v>
      </c>
      <c r="F259">
        <v>48774</v>
      </c>
      <c r="G259">
        <v>48791</v>
      </c>
    </row>
    <row r="260" spans="5:7" x14ac:dyDescent="0.3">
      <c r="E260" s="12" t="s">
        <v>86</v>
      </c>
      <c r="F260">
        <v>29807</v>
      </c>
      <c r="G260">
        <v>25531</v>
      </c>
    </row>
    <row r="261" spans="5:7" x14ac:dyDescent="0.3">
      <c r="E261" s="12" t="s">
        <v>87</v>
      </c>
      <c r="F261">
        <v>20759</v>
      </c>
      <c r="G261">
        <v>17543</v>
      </c>
    </row>
    <row r="263" spans="5:7" x14ac:dyDescent="0.3">
      <c r="F263">
        <f>SUM(F250:F262)</f>
        <v>363732</v>
      </c>
      <c r="G263">
        <f>SUM(G250:G261)</f>
        <v>339152</v>
      </c>
    </row>
    <row r="264" spans="5:7" x14ac:dyDescent="0.3">
      <c r="F264">
        <v>24000</v>
      </c>
      <c r="G264">
        <v>24000</v>
      </c>
    </row>
    <row r="265" spans="5:7" x14ac:dyDescent="0.3">
      <c r="F265">
        <v>6500</v>
      </c>
    </row>
    <row r="266" spans="5:7" x14ac:dyDescent="0.3">
      <c r="F266">
        <f>SUM(F263:F265)</f>
        <v>394232</v>
      </c>
    </row>
  </sheetData>
  <autoFilter ref="A1:AF244" xr:uid="{79EEB228-277A-4DB9-963E-20D42704694C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12B9-97E2-4B45-9CF9-6F0C977CEAA5}">
  <dimension ref="A1:AK246"/>
  <sheetViews>
    <sheetView topLeftCell="Q238" zoomScaleNormal="100" workbookViewId="0">
      <selection activeCell="AH16" sqref="AH16:AH236"/>
    </sheetView>
  </sheetViews>
  <sheetFormatPr defaultRowHeight="14.4" x14ac:dyDescent="0.3"/>
  <cols>
    <col min="1" max="1" width="12" customWidth="1"/>
    <col min="11" max="16" width="9.88671875" bestFit="1" customWidth="1"/>
    <col min="17" max="17" width="10" bestFit="1" customWidth="1"/>
    <col min="18" max="30" width="9.88671875" bestFit="1" customWidth="1"/>
    <col min="31" max="32" width="9.6640625" bestFit="1" customWidth="1"/>
    <col min="35" max="35" width="12.33203125" customWidth="1"/>
    <col min="37" max="37" width="11.21875" customWidth="1"/>
  </cols>
  <sheetData>
    <row r="1" spans="1:35" x14ac:dyDescent="0.3">
      <c r="B1" s="1">
        <v>45292</v>
      </c>
      <c r="C1" s="1">
        <v>45293</v>
      </c>
      <c r="D1" s="1">
        <v>45294</v>
      </c>
      <c r="E1" s="1">
        <v>45295</v>
      </c>
      <c r="F1" s="1">
        <v>45296</v>
      </c>
      <c r="G1" s="1">
        <v>45297</v>
      </c>
      <c r="H1" s="1">
        <v>45298</v>
      </c>
      <c r="I1" s="1">
        <v>45299</v>
      </c>
      <c r="J1" s="1">
        <v>45300</v>
      </c>
      <c r="K1" s="1">
        <v>45301</v>
      </c>
      <c r="L1" s="1">
        <v>45302</v>
      </c>
      <c r="M1" s="1">
        <v>45303</v>
      </c>
      <c r="N1" s="1">
        <v>45304</v>
      </c>
      <c r="O1" s="1">
        <v>45305</v>
      </c>
      <c r="P1" s="1">
        <v>45306</v>
      </c>
      <c r="Q1" s="1">
        <v>45307</v>
      </c>
      <c r="R1" s="1">
        <v>45308</v>
      </c>
      <c r="S1" s="1">
        <v>45309</v>
      </c>
      <c r="T1" s="1">
        <v>45310</v>
      </c>
      <c r="U1" s="1">
        <v>45311</v>
      </c>
      <c r="V1" s="1">
        <v>45312</v>
      </c>
      <c r="W1" s="1">
        <v>45313</v>
      </c>
      <c r="X1" s="1">
        <v>45314</v>
      </c>
      <c r="Y1" s="1">
        <v>45315</v>
      </c>
      <c r="Z1" s="1">
        <v>45316</v>
      </c>
      <c r="AA1" s="1">
        <v>45317</v>
      </c>
      <c r="AB1" s="1">
        <v>45318</v>
      </c>
      <c r="AC1" s="1">
        <v>45319</v>
      </c>
      <c r="AD1" s="1">
        <v>45320</v>
      </c>
      <c r="AE1" s="1">
        <v>45321</v>
      </c>
      <c r="AF1" s="1">
        <v>45322</v>
      </c>
    </row>
    <row r="2" spans="1:35" x14ac:dyDescent="0.3">
      <c r="A2" s="2" t="s">
        <v>5</v>
      </c>
      <c r="B2">
        <v>12</v>
      </c>
      <c r="C2" s="4">
        <v>22</v>
      </c>
      <c r="D2">
        <v>44</v>
      </c>
      <c r="E2" s="4">
        <v>24</v>
      </c>
      <c r="F2">
        <v>34</v>
      </c>
      <c r="G2">
        <v>14</v>
      </c>
      <c r="H2">
        <v>48</v>
      </c>
      <c r="I2">
        <v>22</v>
      </c>
      <c r="J2">
        <v>0</v>
      </c>
      <c r="K2">
        <v>48</v>
      </c>
      <c r="L2">
        <v>22</v>
      </c>
      <c r="M2">
        <v>48</v>
      </c>
      <c r="N2">
        <v>48</v>
      </c>
      <c r="O2">
        <v>0</v>
      </c>
      <c r="P2">
        <v>48</v>
      </c>
      <c r="Q2">
        <v>22</v>
      </c>
      <c r="R2">
        <v>26</v>
      </c>
      <c r="S2">
        <v>22</v>
      </c>
      <c r="T2">
        <v>26</v>
      </c>
      <c r="U2">
        <v>22</v>
      </c>
      <c r="V2">
        <v>0</v>
      </c>
      <c r="W2" s="4">
        <v>48</v>
      </c>
      <c r="X2">
        <v>0</v>
      </c>
      <c r="Y2">
        <v>26</v>
      </c>
      <c r="Z2">
        <v>24</v>
      </c>
      <c r="AA2">
        <v>0</v>
      </c>
      <c r="AB2">
        <v>34</v>
      </c>
      <c r="AC2">
        <v>0</v>
      </c>
      <c r="AD2">
        <v>22</v>
      </c>
      <c r="AE2">
        <v>48</v>
      </c>
      <c r="AF2">
        <v>26</v>
      </c>
      <c r="AH2">
        <f>SUM(B2:AF2)</f>
        <v>780</v>
      </c>
      <c r="AI2" s="2" t="s">
        <v>5</v>
      </c>
    </row>
    <row r="3" spans="1:35" x14ac:dyDescent="0.3">
      <c r="A3" t="s">
        <v>14</v>
      </c>
      <c r="N3">
        <v>10</v>
      </c>
      <c r="U3">
        <v>11</v>
      </c>
      <c r="AB3">
        <v>11</v>
      </c>
      <c r="AH3">
        <f>SUM(B3:AF3)</f>
        <v>32</v>
      </c>
      <c r="AI3" t="s">
        <v>14</v>
      </c>
    </row>
    <row r="4" spans="1:35" x14ac:dyDescent="0.3">
      <c r="A4" s="2" t="s">
        <v>0</v>
      </c>
      <c r="I4" s="5">
        <v>200</v>
      </c>
      <c r="Q4" s="5">
        <v>200</v>
      </c>
      <c r="AA4">
        <v>1000</v>
      </c>
      <c r="AH4">
        <f t="shared" ref="AH4:AH19" si="0">SUM(B4:AF4)</f>
        <v>1400</v>
      </c>
      <c r="AI4" s="2" t="s">
        <v>0</v>
      </c>
    </row>
    <row r="5" spans="1:35" x14ac:dyDescent="0.3">
      <c r="A5" s="2" t="s">
        <v>16</v>
      </c>
      <c r="C5">
        <v>10</v>
      </c>
      <c r="G5">
        <v>20</v>
      </c>
      <c r="H5">
        <v>284</v>
      </c>
      <c r="M5">
        <v>100</v>
      </c>
      <c r="N5">
        <v>38</v>
      </c>
      <c r="V5">
        <v>10</v>
      </c>
      <c r="W5">
        <v>63</v>
      </c>
      <c r="X5" s="4">
        <v>44</v>
      </c>
      <c r="Y5">
        <v>295</v>
      </c>
      <c r="Z5">
        <v>27</v>
      </c>
      <c r="AA5">
        <v>65</v>
      </c>
      <c r="AD5">
        <v>40</v>
      </c>
      <c r="AE5">
        <v>17.329999999999998</v>
      </c>
      <c r="AF5">
        <v>130</v>
      </c>
      <c r="AH5">
        <f t="shared" si="0"/>
        <v>1143.33</v>
      </c>
      <c r="AI5" s="2" t="s">
        <v>16</v>
      </c>
    </row>
    <row r="6" spans="1:35" x14ac:dyDescent="0.3">
      <c r="A6" s="2" t="s">
        <v>34</v>
      </c>
      <c r="M6">
        <v>50</v>
      </c>
      <c r="W6">
        <v>268</v>
      </c>
      <c r="AH6">
        <f t="shared" si="0"/>
        <v>318</v>
      </c>
      <c r="AI6" s="2" t="s">
        <v>34</v>
      </c>
    </row>
    <row r="7" spans="1:35" x14ac:dyDescent="0.3">
      <c r="A7" s="2" t="s">
        <v>18</v>
      </c>
      <c r="C7">
        <v>730</v>
      </c>
      <c r="E7" s="4">
        <v>154</v>
      </c>
      <c r="K7" s="4">
        <v>1422</v>
      </c>
      <c r="L7">
        <v>30</v>
      </c>
      <c r="M7">
        <v>837</v>
      </c>
      <c r="N7" s="4">
        <v>629</v>
      </c>
      <c r="V7">
        <v>100</v>
      </c>
      <c r="W7">
        <v>93</v>
      </c>
      <c r="X7" s="4">
        <v>36</v>
      </c>
      <c r="Y7">
        <v>670</v>
      </c>
      <c r="Z7">
        <v>170</v>
      </c>
      <c r="AA7">
        <v>20</v>
      </c>
      <c r="AE7">
        <v>158.5</v>
      </c>
      <c r="AH7">
        <f t="shared" si="0"/>
        <v>5049.5</v>
      </c>
      <c r="AI7" s="2" t="s">
        <v>18</v>
      </c>
    </row>
    <row r="8" spans="1:35" x14ac:dyDescent="0.3">
      <c r="A8" s="2" t="s">
        <v>2</v>
      </c>
      <c r="C8">
        <v>52</v>
      </c>
      <c r="D8">
        <v>45</v>
      </c>
      <c r="G8">
        <v>40</v>
      </c>
      <c r="H8">
        <v>110</v>
      </c>
      <c r="M8">
        <v>69</v>
      </c>
      <c r="S8">
        <v>17</v>
      </c>
      <c r="V8">
        <v>40</v>
      </c>
      <c r="Y8">
        <v>50</v>
      </c>
      <c r="Z8">
        <v>56</v>
      </c>
      <c r="AA8">
        <v>30</v>
      </c>
      <c r="AC8">
        <v>50</v>
      </c>
      <c r="AE8">
        <v>20</v>
      </c>
      <c r="AH8">
        <f t="shared" si="0"/>
        <v>579</v>
      </c>
      <c r="AI8" s="2" t="s">
        <v>2</v>
      </c>
    </row>
    <row r="9" spans="1:35" x14ac:dyDescent="0.3">
      <c r="A9" s="2" t="s">
        <v>19</v>
      </c>
      <c r="B9">
        <v>50</v>
      </c>
      <c r="D9">
        <v>15</v>
      </c>
      <c r="G9">
        <v>20</v>
      </c>
      <c r="M9" s="4">
        <v>20</v>
      </c>
      <c r="O9">
        <v>20</v>
      </c>
      <c r="T9">
        <v>40</v>
      </c>
      <c r="U9">
        <v>10</v>
      </c>
      <c r="AH9">
        <f t="shared" si="0"/>
        <v>175</v>
      </c>
      <c r="AI9" s="2" t="s">
        <v>19</v>
      </c>
    </row>
    <row r="10" spans="1:35" x14ac:dyDescent="0.3">
      <c r="A10" s="2" t="s">
        <v>7</v>
      </c>
      <c r="F10">
        <v>30</v>
      </c>
      <c r="H10">
        <v>60</v>
      </c>
      <c r="S10">
        <v>40</v>
      </c>
      <c r="U10">
        <v>30</v>
      </c>
      <c r="Y10">
        <v>60</v>
      </c>
      <c r="AH10">
        <f t="shared" si="0"/>
        <v>220</v>
      </c>
      <c r="AI10" s="2" t="s">
        <v>7</v>
      </c>
    </row>
    <row r="11" spans="1:35" x14ac:dyDescent="0.3">
      <c r="A11" s="2" t="s">
        <v>53</v>
      </c>
      <c r="M11">
        <v>110</v>
      </c>
      <c r="O11">
        <v>368</v>
      </c>
      <c r="AH11">
        <f t="shared" si="0"/>
        <v>478</v>
      </c>
      <c r="AI11" s="2" t="s">
        <v>53</v>
      </c>
    </row>
    <row r="12" spans="1:35" x14ac:dyDescent="0.3">
      <c r="A12" s="2" t="s">
        <v>15</v>
      </c>
      <c r="K12">
        <v>294</v>
      </c>
      <c r="L12">
        <v>432</v>
      </c>
      <c r="M12">
        <v>262</v>
      </c>
      <c r="N12">
        <v>288</v>
      </c>
      <c r="AH12">
        <f t="shared" si="0"/>
        <v>1276</v>
      </c>
      <c r="AI12" s="2" t="s">
        <v>15</v>
      </c>
    </row>
    <row r="13" spans="1:35" x14ac:dyDescent="0.3">
      <c r="A13" s="2" t="s">
        <v>13</v>
      </c>
      <c r="J13">
        <v>200</v>
      </c>
      <c r="AH13">
        <f t="shared" si="0"/>
        <v>200</v>
      </c>
      <c r="AI13" s="2" t="s">
        <v>13</v>
      </c>
    </row>
    <row r="14" spans="1:35" x14ac:dyDescent="0.3">
      <c r="A14" s="2" t="s">
        <v>17</v>
      </c>
      <c r="O14">
        <v>1178</v>
      </c>
      <c r="AH14">
        <f t="shared" si="0"/>
        <v>1178</v>
      </c>
      <c r="AI14" s="2" t="s">
        <v>17</v>
      </c>
    </row>
    <row r="15" spans="1:35" x14ac:dyDescent="0.3">
      <c r="A15" s="2" t="s">
        <v>20</v>
      </c>
      <c r="E15">
        <v>150</v>
      </c>
      <c r="F15">
        <v>24</v>
      </c>
      <c r="H15">
        <v>40</v>
      </c>
      <c r="I15" s="13">
        <v>1434</v>
      </c>
      <c r="T15">
        <v>285</v>
      </c>
      <c r="V15">
        <v>500</v>
      </c>
      <c r="X15">
        <v>239</v>
      </c>
      <c r="Y15">
        <v>90</v>
      </c>
      <c r="AC15">
        <v>20</v>
      </c>
      <c r="AD15">
        <v>4</v>
      </c>
      <c r="AH15">
        <f t="shared" si="0"/>
        <v>2786</v>
      </c>
      <c r="AI15" s="2" t="s">
        <v>20</v>
      </c>
    </row>
    <row r="16" spans="1:35" x14ac:dyDescent="0.3">
      <c r="A16" s="2" t="s">
        <v>12</v>
      </c>
      <c r="F16">
        <v>750</v>
      </c>
      <c r="I16">
        <v>128</v>
      </c>
      <c r="R16">
        <v>20</v>
      </c>
      <c r="AD16">
        <v>46</v>
      </c>
      <c r="AF16">
        <v>480</v>
      </c>
      <c r="AH16">
        <f t="shared" si="0"/>
        <v>1424</v>
      </c>
      <c r="AI16" s="2" t="s">
        <v>12</v>
      </c>
    </row>
    <row r="17" spans="1:35" x14ac:dyDescent="0.3">
      <c r="A17" s="2" t="s">
        <v>8</v>
      </c>
      <c r="F17">
        <v>209</v>
      </c>
      <c r="P17">
        <v>10</v>
      </c>
      <c r="AH17">
        <f t="shared" si="0"/>
        <v>219</v>
      </c>
      <c r="AI17" s="2" t="s">
        <v>8</v>
      </c>
    </row>
    <row r="18" spans="1:35" x14ac:dyDescent="0.3">
      <c r="A18" s="2" t="s">
        <v>30</v>
      </c>
      <c r="AA18">
        <v>320</v>
      </c>
      <c r="AH18">
        <f t="shared" si="0"/>
        <v>320</v>
      </c>
      <c r="AI18" s="2" t="s">
        <v>30</v>
      </c>
    </row>
    <row r="19" spans="1:35" x14ac:dyDescent="0.3">
      <c r="A19" s="2" t="s">
        <v>4</v>
      </c>
      <c r="N19">
        <v>10</v>
      </c>
      <c r="O19">
        <v>15</v>
      </c>
      <c r="R19">
        <v>6</v>
      </c>
      <c r="AE19">
        <v>10</v>
      </c>
      <c r="AH19">
        <f t="shared" si="0"/>
        <v>41</v>
      </c>
      <c r="AI19" s="2" t="s">
        <v>4</v>
      </c>
    </row>
    <row r="20" spans="1:35" x14ac:dyDescent="0.3">
      <c r="Q20" s="6">
        <f>SUM(B2:AF19)</f>
        <v>17618.830000000002</v>
      </c>
    </row>
    <row r="21" spans="1:35" x14ac:dyDescent="0.3">
      <c r="B21" s="1">
        <v>45323</v>
      </c>
      <c r="C21" s="1">
        <v>45324</v>
      </c>
      <c r="D21" s="1">
        <v>45325</v>
      </c>
      <c r="E21" s="1">
        <v>45326</v>
      </c>
      <c r="F21" s="1">
        <v>45327</v>
      </c>
      <c r="G21" s="1">
        <v>45328</v>
      </c>
      <c r="H21" s="1">
        <v>45329</v>
      </c>
      <c r="I21" s="1">
        <v>45330</v>
      </c>
      <c r="J21" s="1">
        <v>45331</v>
      </c>
      <c r="K21" s="1">
        <v>45332</v>
      </c>
      <c r="L21" s="1">
        <v>45333</v>
      </c>
      <c r="M21" s="1">
        <v>45334</v>
      </c>
      <c r="N21" s="1">
        <v>45335</v>
      </c>
      <c r="O21" s="1">
        <v>45336</v>
      </c>
      <c r="P21" s="1">
        <v>45337</v>
      </c>
      <c r="Q21" s="1">
        <v>45338</v>
      </c>
      <c r="R21" s="1">
        <v>45339</v>
      </c>
      <c r="S21" s="1">
        <v>45340</v>
      </c>
      <c r="T21" s="1">
        <v>45341</v>
      </c>
      <c r="U21" s="1">
        <v>45342</v>
      </c>
      <c r="V21" s="1">
        <v>45343</v>
      </c>
      <c r="W21" s="1">
        <v>45344</v>
      </c>
      <c r="X21" s="1">
        <v>45345</v>
      </c>
      <c r="Y21" s="1">
        <v>45346</v>
      </c>
      <c r="Z21" s="1">
        <v>45347</v>
      </c>
      <c r="AA21" s="1">
        <v>45348</v>
      </c>
      <c r="AB21" s="1">
        <v>45349</v>
      </c>
      <c r="AC21" s="1">
        <v>45350</v>
      </c>
      <c r="AD21" s="1">
        <v>45351</v>
      </c>
    </row>
    <row r="22" spans="1:35" x14ac:dyDescent="0.3">
      <c r="A22" s="2" t="s">
        <v>5</v>
      </c>
      <c r="B22">
        <v>22</v>
      </c>
      <c r="C22">
        <v>48</v>
      </c>
      <c r="D22">
        <v>34</v>
      </c>
      <c r="E22" s="4">
        <v>51</v>
      </c>
      <c r="F22">
        <v>26</v>
      </c>
      <c r="G22" s="4">
        <v>22</v>
      </c>
      <c r="H22">
        <v>22</v>
      </c>
      <c r="I22" s="4">
        <v>48</v>
      </c>
      <c r="J22" s="4">
        <v>48</v>
      </c>
      <c r="K22">
        <v>22</v>
      </c>
      <c r="L22" s="4">
        <v>0</v>
      </c>
      <c r="M22" s="4">
        <v>48</v>
      </c>
      <c r="N22">
        <v>48</v>
      </c>
      <c r="O22" s="4">
        <v>0</v>
      </c>
      <c r="P22" s="4">
        <v>48</v>
      </c>
      <c r="Q22">
        <v>47</v>
      </c>
      <c r="R22" s="4">
        <v>48</v>
      </c>
      <c r="S22" s="4">
        <v>22</v>
      </c>
      <c r="T22" s="4">
        <v>22</v>
      </c>
      <c r="U22">
        <v>26</v>
      </c>
      <c r="V22" s="4">
        <v>48</v>
      </c>
      <c r="W22" s="4">
        <v>0</v>
      </c>
      <c r="X22">
        <v>48</v>
      </c>
      <c r="Y22" s="4">
        <v>17</v>
      </c>
      <c r="Z22">
        <v>79</v>
      </c>
      <c r="AA22" s="4">
        <v>22</v>
      </c>
      <c r="AB22">
        <v>26</v>
      </c>
      <c r="AC22">
        <v>0</v>
      </c>
      <c r="AD22">
        <v>48</v>
      </c>
      <c r="AH22">
        <f>SUM(B22:AD22)</f>
        <v>940</v>
      </c>
      <c r="AI22" s="2" t="s">
        <v>5</v>
      </c>
    </row>
    <row r="23" spans="1:35" x14ac:dyDescent="0.3">
      <c r="A23" t="s">
        <v>14</v>
      </c>
      <c r="D23">
        <v>11</v>
      </c>
      <c r="J23" s="4"/>
      <c r="K23">
        <v>11</v>
      </c>
      <c r="L23">
        <v>0</v>
      </c>
      <c r="R23">
        <v>5</v>
      </c>
      <c r="Y23">
        <v>5</v>
      </c>
      <c r="AB23">
        <v>50</v>
      </c>
      <c r="AH23">
        <f>SUM(B23:AD23)</f>
        <v>82</v>
      </c>
      <c r="AI23" t="s">
        <v>14</v>
      </c>
    </row>
    <row r="24" spans="1:35" x14ac:dyDescent="0.3">
      <c r="A24" s="2" t="s">
        <v>0</v>
      </c>
      <c r="G24" s="5">
        <v>200</v>
      </c>
      <c r="J24">
        <v>1000</v>
      </c>
      <c r="K24">
        <v>200</v>
      </c>
      <c r="S24">
        <v>10</v>
      </c>
      <c r="Z24" s="5">
        <v>200</v>
      </c>
      <c r="AA24">
        <v>200</v>
      </c>
      <c r="AH24">
        <f t="shared" ref="AH24:AH41" si="1">SUM(B24:AD24)</f>
        <v>1810</v>
      </c>
      <c r="AI24" s="2" t="s">
        <v>0</v>
      </c>
    </row>
    <row r="25" spans="1:35" x14ac:dyDescent="0.3">
      <c r="A25" s="2" t="s">
        <v>16</v>
      </c>
      <c r="C25">
        <v>10</v>
      </c>
      <c r="D25">
        <v>82</v>
      </c>
      <c r="E25" s="4">
        <v>48.3</v>
      </c>
      <c r="G25">
        <v>290</v>
      </c>
      <c r="I25">
        <v>32</v>
      </c>
      <c r="J25" s="4"/>
      <c r="O25">
        <v>120</v>
      </c>
      <c r="P25">
        <v>40</v>
      </c>
      <c r="Q25">
        <v>60</v>
      </c>
      <c r="S25">
        <v>60</v>
      </c>
      <c r="T25">
        <v>20</v>
      </c>
      <c r="U25">
        <v>30</v>
      </c>
      <c r="W25">
        <v>45</v>
      </c>
      <c r="X25">
        <v>30</v>
      </c>
      <c r="Y25">
        <v>50</v>
      </c>
      <c r="Z25">
        <v>380</v>
      </c>
      <c r="AH25">
        <f t="shared" si="1"/>
        <v>1297.3</v>
      </c>
      <c r="AI25" s="2" t="s">
        <v>16</v>
      </c>
    </row>
    <row r="26" spans="1:35" x14ac:dyDescent="0.3">
      <c r="A26" s="2" t="s">
        <v>34</v>
      </c>
      <c r="J26" s="4"/>
      <c r="O26">
        <v>260</v>
      </c>
      <c r="Z26">
        <v>290</v>
      </c>
      <c r="AH26">
        <f t="shared" si="1"/>
        <v>550</v>
      </c>
      <c r="AI26" s="2" t="s">
        <v>34</v>
      </c>
    </row>
    <row r="27" spans="1:35" x14ac:dyDescent="0.3">
      <c r="A27" s="2" t="s">
        <v>18</v>
      </c>
      <c r="E27" s="4">
        <v>530.52</v>
      </c>
      <c r="I27">
        <v>55</v>
      </c>
      <c r="J27" s="4"/>
      <c r="M27" s="4">
        <v>562.23</v>
      </c>
      <c r="O27">
        <v>370</v>
      </c>
      <c r="P27">
        <v>806</v>
      </c>
      <c r="Q27">
        <v>60</v>
      </c>
      <c r="S27" s="4">
        <v>43.34</v>
      </c>
      <c r="T27">
        <v>100</v>
      </c>
      <c r="X27">
        <v>1295</v>
      </c>
      <c r="Y27" s="4">
        <v>629</v>
      </c>
      <c r="Z27">
        <v>1110</v>
      </c>
      <c r="AH27">
        <f t="shared" si="1"/>
        <v>5561.09</v>
      </c>
      <c r="AI27" s="2" t="s">
        <v>18</v>
      </c>
    </row>
    <row r="28" spans="1:35" x14ac:dyDescent="0.3">
      <c r="A28" s="2" t="s">
        <v>2</v>
      </c>
      <c r="C28">
        <v>116</v>
      </c>
      <c r="F28">
        <v>20</v>
      </c>
      <c r="G28">
        <v>130</v>
      </c>
      <c r="J28" s="4"/>
      <c r="N28">
        <v>30</v>
      </c>
      <c r="O28">
        <v>20</v>
      </c>
      <c r="Q28">
        <v>50</v>
      </c>
      <c r="S28">
        <v>155</v>
      </c>
      <c r="W28">
        <v>20</v>
      </c>
      <c r="X28">
        <v>20</v>
      </c>
      <c r="Z28">
        <v>100</v>
      </c>
      <c r="AB28">
        <v>20</v>
      </c>
      <c r="AH28">
        <f t="shared" si="1"/>
        <v>681</v>
      </c>
      <c r="AI28" s="2" t="s">
        <v>2</v>
      </c>
    </row>
    <row r="29" spans="1:35" x14ac:dyDescent="0.3">
      <c r="A29" s="2" t="s">
        <v>19</v>
      </c>
      <c r="E29">
        <v>140</v>
      </c>
      <c r="H29">
        <v>30</v>
      </c>
      <c r="J29" s="4"/>
      <c r="P29">
        <v>25</v>
      </c>
      <c r="Q29">
        <v>740</v>
      </c>
      <c r="S29">
        <v>100</v>
      </c>
      <c r="Z29">
        <v>220</v>
      </c>
      <c r="AD29">
        <v>90</v>
      </c>
      <c r="AH29">
        <f>SUM(B29:AD29)</f>
        <v>1345</v>
      </c>
      <c r="AI29" s="2" t="s">
        <v>19</v>
      </c>
    </row>
    <row r="30" spans="1:35" x14ac:dyDescent="0.3">
      <c r="A30" s="2" t="s">
        <v>7</v>
      </c>
      <c r="D30">
        <v>30</v>
      </c>
      <c r="J30" s="4"/>
      <c r="O30">
        <v>30</v>
      </c>
      <c r="S30">
        <v>30</v>
      </c>
      <c r="W30">
        <v>40</v>
      </c>
      <c r="Z30">
        <v>50</v>
      </c>
      <c r="AH30">
        <f t="shared" si="1"/>
        <v>180</v>
      </c>
      <c r="AI30" s="2" t="s">
        <v>7</v>
      </c>
    </row>
    <row r="31" spans="1:35" x14ac:dyDescent="0.3">
      <c r="A31" s="2" t="s">
        <v>54</v>
      </c>
      <c r="K31">
        <v>915</v>
      </c>
      <c r="AH31">
        <f t="shared" si="1"/>
        <v>915</v>
      </c>
      <c r="AI31" s="2" t="s">
        <v>54</v>
      </c>
    </row>
    <row r="32" spans="1:35" x14ac:dyDescent="0.3">
      <c r="A32" s="2" t="s">
        <v>15</v>
      </c>
      <c r="K32">
        <v>319</v>
      </c>
      <c r="L32">
        <v>290</v>
      </c>
      <c r="M32">
        <v>383</v>
      </c>
      <c r="N32">
        <v>264</v>
      </c>
      <c r="AH32">
        <f t="shared" si="1"/>
        <v>1256</v>
      </c>
      <c r="AI32" s="2" t="s">
        <v>15</v>
      </c>
    </row>
    <row r="33" spans="1:37" x14ac:dyDescent="0.3">
      <c r="A33" s="2" t="s">
        <v>13</v>
      </c>
      <c r="K33">
        <v>200</v>
      </c>
      <c r="AH33">
        <f t="shared" si="1"/>
        <v>200</v>
      </c>
      <c r="AI33" s="2" t="s">
        <v>13</v>
      </c>
    </row>
    <row r="34" spans="1:37" x14ac:dyDescent="0.3">
      <c r="A34" s="2" t="s">
        <v>17</v>
      </c>
      <c r="K34" s="4"/>
      <c r="O34">
        <v>1178</v>
      </c>
      <c r="AH34">
        <f t="shared" si="1"/>
        <v>1178</v>
      </c>
      <c r="AI34" s="2" t="s">
        <v>17</v>
      </c>
    </row>
    <row r="35" spans="1:37" x14ac:dyDescent="0.3">
      <c r="A35" s="2" t="s">
        <v>20</v>
      </c>
      <c r="C35">
        <v>36</v>
      </c>
      <c r="F35" s="13">
        <v>234</v>
      </c>
      <c r="G35">
        <v>200</v>
      </c>
      <c r="J35">
        <v>36</v>
      </c>
      <c r="L35">
        <v>424</v>
      </c>
      <c r="T35">
        <v>10</v>
      </c>
      <c r="V35">
        <v>3024</v>
      </c>
      <c r="W35">
        <v>50</v>
      </c>
      <c r="Y35">
        <v>450</v>
      </c>
      <c r="Z35">
        <v>150</v>
      </c>
      <c r="AH35">
        <f t="shared" si="1"/>
        <v>4614</v>
      </c>
      <c r="AI35" s="2" t="s">
        <v>20</v>
      </c>
    </row>
    <row r="36" spans="1:37" x14ac:dyDescent="0.3">
      <c r="A36" s="2" t="s">
        <v>12</v>
      </c>
      <c r="E36">
        <v>55</v>
      </c>
      <c r="G36">
        <v>60</v>
      </c>
      <c r="L36" s="13">
        <v>525</v>
      </c>
      <c r="O36">
        <v>70</v>
      </c>
      <c r="T36">
        <v>30</v>
      </c>
      <c r="AH36">
        <f t="shared" si="1"/>
        <v>740</v>
      </c>
      <c r="AI36" s="2" t="s">
        <v>12</v>
      </c>
    </row>
    <row r="37" spans="1:37" x14ac:dyDescent="0.3">
      <c r="A37" s="2" t="s">
        <v>30</v>
      </c>
      <c r="S37">
        <v>110</v>
      </c>
      <c r="AH37">
        <f>SUM(B37:AD37)</f>
        <v>110</v>
      </c>
      <c r="AI37" s="2" t="s">
        <v>30</v>
      </c>
    </row>
    <row r="38" spans="1:37" x14ac:dyDescent="0.3">
      <c r="A38" s="2" t="s">
        <v>10</v>
      </c>
      <c r="AA38">
        <v>200</v>
      </c>
      <c r="AH38">
        <f>SUM(B38:AD38)</f>
        <v>200</v>
      </c>
      <c r="AI38" s="2" t="s">
        <v>10</v>
      </c>
    </row>
    <row r="39" spans="1:37" x14ac:dyDescent="0.3">
      <c r="A39" s="2" t="s">
        <v>8</v>
      </c>
      <c r="E39">
        <v>209</v>
      </c>
      <c r="AH39">
        <f>SUM(B39:AD39)</f>
        <v>209</v>
      </c>
      <c r="AI39" s="2" t="s">
        <v>8</v>
      </c>
    </row>
    <row r="40" spans="1:37" x14ac:dyDescent="0.3">
      <c r="A40" s="2" t="s">
        <v>24</v>
      </c>
      <c r="E40">
        <v>532.17999999999995</v>
      </c>
      <c r="K40">
        <v>950</v>
      </c>
      <c r="AD40">
        <v>170</v>
      </c>
      <c r="AH40">
        <f t="shared" si="1"/>
        <v>1652.1799999999998</v>
      </c>
      <c r="AI40" s="2" t="s">
        <v>24</v>
      </c>
    </row>
    <row r="41" spans="1:37" x14ac:dyDescent="0.3">
      <c r="A41" s="2" t="s">
        <v>4</v>
      </c>
      <c r="P41">
        <v>10</v>
      </c>
      <c r="Q41">
        <v>215</v>
      </c>
      <c r="U41">
        <v>20</v>
      </c>
      <c r="V41">
        <v>550</v>
      </c>
      <c r="W41">
        <v>10</v>
      </c>
      <c r="Z41">
        <v>50</v>
      </c>
      <c r="AH41">
        <f t="shared" si="1"/>
        <v>855</v>
      </c>
      <c r="AI41" s="2" t="s">
        <v>4</v>
      </c>
    </row>
    <row r="42" spans="1:37" x14ac:dyDescent="0.3">
      <c r="Q42" s="6">
        <f>SUM(B22:AD41)</f>
        <v>24375.57</v>
      </c>
      <c r="AK42">
        <f>SUM(Q42,Q20)</f>
        <v>41994.400000000001</v>
      </c>
    </row>
    <row r="43" spans="1:37" x14ac:dyDescent="0.3">
      <c r="B43" s="1">
        <v>45352</v>
      </c>
      <c r="C43" s="1">
        <v>45353</v>
      </c>
      <c r="D43" s="1">
        <v>45354</v>
      </c>
      <c r="E43" s="1">
        <v>45355</v>
      </c>
      <c r="F43" s="1">
        <v>45356</v>
      </c>
      <c r="G43" s="1">
        <v>45357</v>
      </c>
      <c r="H43" s="1">
        <v>45358</v>
      </c>
      <c r="I43" s="1">
        <v>45359</v>
      </c>
      <c r="J43" s="1">
        <v>45360</v>
      </c>
      <c r="K43" s="1">
        <v>45361</v>
      </c>
      <c r="L43" s="1">
        <v>45362</v>
      </c>
      <c r="M43" s="1">
        <v>45363</v>
      </c>
      <c r="N43" s="1">
        <v>45364</v>
      </c>
      <c r="O43" s="1">
        <v>45365</v>
      </c>
      <c r="P43" s="1">
        <v>45366</v>
      </c>
      <c r="Q43" s="1">
        <v>45367</v>
      </c>
      <c r="R43" s="1">
        <v>45368</v>
      </c>
      <c r="S43" s="1">
        <v>45369</v>
      </c>
      <c r="T43" s="1">
        <v>45370</v>
      </c>
      <c r="U43" s="1">
        <v>45371</v>
      </c>
      <c r="V43" s="1">
        <v>45372</v>
      </c>
      <c r="W43" s="1">
        <v>45373</v>
      </c>
      <c r="X43" s="1">
        <v>45374</v>
      </c>
      <c r="Y43" s="1">
        <v>45375</v>
      </c>
      <c r="Z43" s="1">
        <v>45376</v>
      </c>
      <c r="AA43" s="1">
        <v>45377</v>
      </c>
      <c r="AB43" s="1">
        <v>45378</v>
      </c>
      <c r="AC43" s="1">
        <v>45379</v>
      </c>
      <c r="AD43" s="1">
        <v>45380</v>
      </c>
      <c r="AE43" s="1">
        <v>45381</v>
      </c>
      <c r="AF43" s="1">
        <v>45382</v>
      </c>
    </row>
    <row r="44" spans="1:37" x14ac:dyDescent="0.3">
      <c r="A44" s="2" t="s">
        <v>5</v>
      </c>
      <c r="B44">
        <v>0</v>
      </c>
      <c r="C44">
        <v>48</v>
      </c>
      <c r="D44">
        <v>22</v>
      </c>
      <c r="E44">
        <v>26</v>
      </c>
      <c r="F44">
        <v>22</v>
      </c>
      <c r="G44">
        <v>48</v>
      </c>
      <c r="H44">
        <v>48</v>
      </c>
      <c r="I44" s="4">
        <v>22</v>
      </c>
      <c r="J44">
        <v>26</v>
      </c>
      <c r="K44" s="4">
        <v>48</v>
      </c>
      <c r="L44">
        <v>48</v>
      </c>
      <c r="M44" s="4">
        <v>22</v>
      </c>
      <c r="N44">
        <v>52</v>
      </c>
      <c r="O44" s="4">
        <v>22</v>
      </c>
      <c r="P44" s="4">
        <v>22</v>
      </c>
      <c r="Q44">
        <v>34</v>
      </c>
      <c r="R44">
        <v>48</v>
      </c>
      <c r="S44" s="4">
        <v>22</v>
      </c>
      <c r="T44">
        <v>48</v>
      </c>
      <c r="U44" s="4">
        <v>22</v>
      </c>
      <c r="V44">
        <v>48</v>
      </c>
      <c r="W44">
        <v>22</v>
      </c>
      <c r="X44">
        <v>48</v>
      </c>
      <c r="Y44" s="4">
        <v>22</v>
      </c>
      <c r="Z44">
        <v>0</v>
      </c>
      <c r="AA44">
        <v>48</v>
      </c>
      <c r="AB44">
        <v>48</v>
      </c>
      <c r="AC44">
        <v>25</v>
      </c>
      <c r="AD44">
        <v>52</v>
      </c>
      <c r="AE44" s="4">
        <v>22</v>
      </c>
      <c r="AF44" s="4">
        <v>48</v>
      </c>
      <c r="AH44">
        <f>SUM(B44:AF44)</f>
        <v>1033</v>
      </c>
      <c r="AI44" s="2" t="s">
        <v>5</v>
      </c>
    </row>
    <row r="45" spans="1:37" x14ac:dyDescent="0.3">
      <c r="A45" t="s">
        <v>14</v>
      </c>
      <c r="B45">
        <v>0</v>
      </c>
      <c r="C45">
        <v>5</v>
      </c>
      <c r="D45">
        <v>0</v>
      </c>
      <c r="J45">
        <v>5</v>
      </c>
      <c r="X45">
        <v>5</v>
      </c>
      <c r="AE45">
        <v>5</v>
      </c>
      <c r="AH45">
        <f>SUM(B45:AF45)</f>
        <v>20</v>
      </c>
      <c r="AI45" t="s">
        <v>14</v>
      </c>
    </row>
    <row r="46" spans="1:37" x14ac:dyDescent="0.3">
      <c r="A46" s="2" t="s">
        <v>0</v>
      </c>
      <c r="D46">
        <v>0</v>
      </c>
      <c r="L46">
        <v>200</v>
      </c>
      <c r="M46">
        <v>22</v>
      </c>
      <c r="W46">
        <v>200</v>
      </c>
      <c r="AB46" s="5">
        <v>200</v>
      </c>
      <c r="AC46">
        <v>1000</v>
      </c>
      <c r="AH46">
        <f t="shared" ref="AH46:AH61" si="2">SUM(B46:AF46)</f>
        <v>1622</v>
      </c>
      <c r="AI46" s="2" t="s">
        <v>0</v>
      </c>
    </row>
    <row r="47" spans="1:37" x14ac:dyDescent="0.3">
      <c r="A47" s="2" t="s">
        <v>16</v>
      </c>
      <c r="C47">
        <v>10</v>
      </c>
      <c r="D47">
        <v>80</v>
      </c>
      <c r="F47">
        <v>15</v>
      </c>
      <c r="G47">
        <v>10</v>
      </c>
      <c r="K47">
        <v>330</v>
      </c>
      <c r="Q47">
        <v>22</v>
      </c>
      <c r="S47">
        <v>20</v>
      </c>
      <c r="U47">
        <v>30</v>
      </c>
      <c r="V47">
        <v>30</v>
      </c>
      <c r="X47" s="4">
        <v>82.78</v>
      </c>
      <c r="Y47">
        <v>100</v>
      </c>
      <c r="AA47">
        <v>30</v>
      </c>
      <c r="AB47">
        <v>30</v>
      </c>
      <c r="AE47">
        <v>370</v>
      </c>
      <c r="AF47" s="4">
        <v>51.27</v>
      </c>
      <c r="AH47">
        <f>SUM(B47:AG47)</f>
        <v>1211.05</v>
      </c>
      <c r="AI47" s="2" t="s">
        <v>16</v>
      </c>
    </row>
    <row r="48" spans="1:37" x14ac:dyDescent="0.3">
      <c r="A48" s="2" t="s">
        <v>34</v>
      </c>
      <c r="D48">
        <v>100</v>
      </c>
      <c r="G48">
        <v>220</v>
      </c>
      <c r="I48">
        <v>243</v>
      </c>
      <c r="AH48">
        <f t="shared" si="2"/>
        <v>563</v>
      </c>
      <c r="AI48" s="2" t="s">
        <v>34</v>
      </c>
    </row>
    <row r="49" spans="1:37" x14ac:dyDescent="0.3">
      <c r="A49" s="2" t="s">
        <v>18</v>
      </c>
      <c r="I49" s="4">
        <v>1741</v>
      </c>
      <c r="Q49">
        <v>40</v>
      </c>
      <c r="Y49">
        <v>60</v>
      </c>
      <c r="AH49">
        <f t="shared" si="2"/>
        <v>1841</v>
      </c>
      <c r="AI49" s="2" t="s">
        <v>18</v>
      </c>
    </row>
    <row r="50" spans="1:37" x14ac:dyDescent="0.3">
      <c r="A50" s="2" t="s">
        <v>2</v>
      </c>
      <c r="C50">
        <v>30</v>
      </c>
      <c r="D50">
        <v>90</v>
      </c>
      <c r="F50">
        <v>20</v>
      </c>
      <c r="G50">
        <v>30</v>
      </c>
      <c r="H50">
        <v>25</v>
      </c>
      <c r="J50">
        <v>25</v>
      </c>
      <c r="K50">
        <v>40</v>
      </c>
      <c r="L50">
        <v>14</v>
      </c>
      <c r="M50">
        <v>30</v>
      </c>
      <c r="O50">
        <v>20</v>
      </c>
      <c r="P50">
        <v>20</v>
      </c>
      <c r="Q50">
        <v>27</v>
      </c>
      <c r="S50">
        <v>30</v>
      </c>
      <c r="U50">
        <v>40</v>
      </c>
      <c r="V50">
        <v>23</v>
      </c>
      <c r="W50">
        <v>146</v>
      </c>
      <c r="Y50">
        <v>119</v>
      </c>
      <c r="AA50">
        <v>13</v>
      </c>
      <c r="AB50">
        <v>126</v>
      </c>
      <c r="AE50" s="4">
        <v>14</v>
      </c>
      <c r="AF50">
        <v>137.65</v>
      </c>
      <c r="AH50">
        <f t="shared" si="2"/>
        <v>1019.65</v>
      </c>
      <c r="AI50" s="2" t="s">
        <v>2</v>
      </c>
    </row>
    <row r="51" spans="1:37" x14ac:dyDescent="0.3">
      <c r="A51" s="2" t="s">
        <v>19</v>
      </c>
      <c r="C51">
        <v>20</v>
      </c>
      <c r="D51">
        <v>220</v>
      </c>
      <c r="E51">
        <v>35</v>
      </c>
      <c r="K51">
        <v>30</v>
      </c>
      <c r="L51">
        <v>20</v>
      </c>
      <c r="M51">
        <v>20</v>
      </c>
      <c r="N51">
        <v>30</v>
      </c>
      <c r="Q51">
        <v>40</v>
      </c>
      <c r="R51">
        <v>40</v>
      </c>
      <c r="T51">
        <v>30</v>
      </c>
      <c r="W51">
        <v>55</v>
      </c>
      <c r="X51" s="4">
        <v>14</v>
      </c>
      <c r="Y51">
        <v>40</v>
      </c>
      <c r="AC51">
        <v>80</v>
      </c>
      <c r="AD51">
        <v>40</v>
      </c>
      <c r="AH51">
        <f t="shared" si="2"/>
        <v>714</v>
      </c>
      <c r="AI51" s="2" t="s">
        <v>19</v>
      </c>
    </row>
    <row r="52" spans="1:37" x14ac:dyDescent="0.3">
      <c r="A52" s="2" t="s">
        <v>7</v>
      </c>
      <c r="D52">
        <v>80</v>
      </c>
      <c r="K52">
        <v>60</v>
      </c>
      <c r="U52">
        <v>30</v>
      </c>
      <c r="AC52">
        <v>20</v>
      </c>
      <c r="AE52">
        <v>20</v>
      </c>
      <c r="AF52">
        <v>50</v>
      </c>
      <c r="AH52">
        <f t="shared" si="2"/>
        <v>260</v>
      </c>
      <c r="AI52" s="2" t="s">
        <v>7</v>
      </c>
    </row>
    <row r="53" spans="1:37" x14ac:dyDescent="0.3">
      <c r="A53" s="2" t="s">
        <v>15</v>
      </c>
      <c r="K53">
        <v>312</v>
      </c>
      <c r="L53">
        <v>291</v>
      </c>
      <c r="M53">
        <v>287</v>
      </c>
      <c r="N53">
        <v>237</v>
      </c>
      <c r="AH53">
        <f t="shared" si="2"/>
        <v>1127</v>
      </c>
      <c r="AI53" s="2" t="s">
        <v>15</v>
      </c>
    </row>
    <row r="54" spans="1:37" x14ac:dyDescent="0.3">
      <c r="A54" s="2" t="s">
        <v>13</v>
      </c>
      <c r="O54">
        <v>200</v>
      </c>
      <c r="AH54">
        <f t="shared" si="2"/>
        <v>200</v>
      </c>
      <c r="AI54" s="2" t="s">
        <v>13</v>
      </c>
    </row>
    <row r="55" spans="1:37" x14ac:dyDescent="0.3">
      <c r="A55" s="2" t="s">
        <v>17</v>
      </c>
      <c r="P55">
        <v>1179</v>
      </c>
      <c r="AH55">
        <f t="shared" si="2"/>
        <v>1179</v>
      </c>
      <c r="AI55" s="2" t="s">
        <v>17</v>
      </c>
    </row>
    <row r="56" spans="1:37" x14ac:dyDescent="0.3">
      <c r="A56" s="2" t="s">
        <v>20</v>
      </c>
      <c r="D56">
        <v>200</v>
      </c>
      <c r="F56">
        <v>400</v>
      </c>
      <c r="G56">
        <v>800</v>
      </c>
      <c r="K56">
        <v>100</v>
      </c>
      <c r="N56">
        <v>24</v>
      </c>
      <c r="Y56">
        <v>190</v>
      </c>
      <c r="AH56">
        <f t="shared" si="2"/>
        <v>1714</v>
      </c>
      <c r="AI56" s="2" t="s">
        <v>20</v>
      </c>
    </row>
    <row r="57" spans="1:37" x14ac:dyDescent="0.3">
      <c r="A57" s="2" t="s">
        <v>12</v>
      </c>
      <c r="AC57">
        <v>70</v>
      </c>
      <c r="AE57">
        <v>210</v>
      </c>
      <c r="AH57">
        <f t="shared" si="2"/>
        <v>280</v>
      </c>
      <c r="AI57" s="2" t="s">
        <v>12</v>
      </c>
    </row>
    <row r="58" spans="1:37" x14ac:dyDescent="0.3">
      <c r="A58" s="2" t="s">
        <v>10</v>
      </c>
      <c r="K58">
        <v>500</v>
      </c>
      <c r="AH58">
        <f t="shared" si="2"/>
        <v>500</v>
      </c>
      <c r="AI58" s="2" t="s">
        <v>10</v>
      </c>
    </row>
    <row r="59" spans="1:37" x14ac:dyDescent="0.3">
      <c r="A59" s="2" t="s">
        <v>8</v>
      </c>
      <c r="I59">
        <v>209</v>
      </c>
      <c r="R59">
        <v>30</v>
      </c>
      <c r="S59" s="13">
        <v>565</v>
      </c>
      <c r="AE59">
        <v>210</v>
      </c>
      <c r="AH59">
        <f t="shared" si="2"/>
        <v>1014</v>
      </c>
      <c r="AI59" s="2" t="s">
        <v>8</v>
      </c>
    </row>
    <row r="60" spans="1:37" x14ac:dyDescent="0.3">
      <c r="A60" s="2" t="s">
        <v>24</v>
      </c>
      <c r="R60">
        <v>4340</v>
      </c>
      <c r="AE60">
        <v>30</v>
      </c>
      <c r="AH60">
        <f t="shared" si="2"/>
        <v>4370</v>
      </c>
      <c r="AI60" s="2" t="s">
        <v>24</v>
      </c>
    </row>
    <row r="61" spans="1:37" x14ac:dyDescent="0.3">
      <c r="A61" s="2" t="s">
        <v>4</v>
      </c>
      <c r="I61">
        <v>10</v>
      </c>
      <c r="Q61">
        <v>15</v>
      </c>
      <c r="X61">
        <v>250</v>
      </c>
      <c r="AE61">
        <v>20</v>
      </c>
      <c r="AH61">
        <f t="shared" si="2"/>
        <v>295</v>
      </c>
      <c r="AI61" s="2" t="s">
        <v>4</v>
      </c>
    </row>
    <row r="62" spans="1:37" x14ac:dyDescent="0.3">
      <c r="Q62" s="6">
        <f>SUM(B44:AF61)</f>
        <v>18962.7</v>
      </c>
      <c r="AK62">
        <f>SUM(AK42,Q62)</f>
        <v>60957.100000000006</v>
      </c>
    </row>
    <row r="63" spans="1:37" x14ac:dyDescent="0.3">
      <c r="B63" s="1">
        <v>45383</v>
      </c>
      <c r="C63" s="1">
        <v>45384</v>
      </c>
      <c r="D63" s="1">
        <v>45385</v>
      </c>
      <c r="E63" s="1">
        <v>45386</v>
      </c>
      <c r="F63" s="1">
        <v>45387</v>
      </c>
      <c r="G63" s="1">
        <v>45388</v>
      </c>
      <c r="H63" s="1">
        <v>45389</v>
      </c>
      <c r="I63" s="1">
        <v>45390</v>
      </c>
      <c r="J63" s="1">
        <v>45391</v>
      </c>
      <c r="K63" s="1">
        <v>45392</v>
      </c>
      <c r="L63" s="1">
        <v>45393</v>
      </c>
      <c r="M63" s="1">
        <v>45394</v>
      </c>
      <c r="N63" s="1">
        <v>45395</v>
      </c>
      <c r="O63" s="1">
        <v>45396</v>
      </c>
      <c r="P63" s="1">
        <v>45397</v>
      </c>
      <c r="Q63" s="1">
        <v>45398</v>
      </c>
      <c r="R63" s="1">
        <v>45399</v>
      </c>
      <c r="S63" s="1">
        <v>45400</v>
      </c>
      <c r="T63" s="1">
        <v>45401</v>
      </c>
      <c r="U63" s="1">
        <v>45402</v>
      </c>
      <c r="V63" s="1">
        <v>45403</v>
      </c>
      <c r="W63" s="1">
        <v>45404</v>
      </c>
      <c r="X63" s="1">
        <v>45405</v>
      </c>
      <c r="Y63" s="1">
        <v>45406</v>
      </c>
      <c r="Z63" s="1">
        <v>45407</v>
      </c>
      <c r="AA63" s="1">
        <v>45408</v>
      </c>
      <c r="AB63" s="1">
        <v>45409</v>
      </c>
      <c r="AC63" s="1">
        <v>45410</v>
      </c>
      <c r="AD63" s="1">
        <v>45411</v>
      </c>
      <c r="AE63" s="1">
        <v>45412</v>
      </c>
    </row>
    <row r="64" spans="1:37" x14ac:dyDescent="0.3">
      <c r="A64" s="2" t="s">
        <v>5</v>
      </c>
      <c r="B64">
        <v>51</v>
      </c>
      <c r="C64">
        <v>0</v>
      </c>
      <c r="D64">
        <v>48</v>
      </c>
      <c r="E64">
        <v>26</v>
      </c>
      <c r="F64">
        <v>48</v>
      </c>
      <c r="G64" s="4">
        <v>48</v>
      </c>
      <c r="H64">
        <v>0</v>
      </c>
      <c r="I64" s="4">
        <v>70</v>
      </c>
      <c r="J64">
        <v>26</v>
      </c>
      <c r="K64" s="4">
        <v>0</v>
      </c>
      <c r="L64">
        <v>26</v>
      </c>
      <c r="M64">
        <v>23</v>
      </c>
      <c r="N64" s="4">
        <v>48</v>
      </c>
      <c r="O64">
        <v>22</v>
      </c>
      <c r="P64">
        <v>0</v>
      </c>
      <c r="Q64">
        <v>0</v>
      </c>
      <c r="R64">
        <v>26</v>
      </c>
      <c r="S64">
        <v>22</v>
      </c>
      <c r="T64">
        <v>48</v>
      </c>
      <c r="U64">
        <v>48</v>
      </c>
      <c r="V64">
        <v>26</v>
      </c>
      <c r="W64">
        <v>22</v>
      </c>
      <c r="X64">
        <v>26</v>
      </c>
      <c r="Y64">
        <v>48</v>
      </c>
      <c r="Z64">
        <v>0</v>
      </c>
      <c r="AA64">
        <v>48</v>
      </c>
      <c r="AB64">
        <v>0</v>
      </c>
      <c r="AC64">
        <v>48</v>
      </c>
      <c r="AD64">
        <v>22</v>
      </c>
      <c r="AE64">
        <v>48</v>
      </c>
      <c r="AH64">
        <f>SUM(B64:AE64)</f>
        <v>868</v>
      </c>
      <c r="AI64" s="2" t="s">
        <v>5</v>
      </c>
    </row>
    <row r="65" spans="1:35" x14ac:dyDescent="0.3">
      <c r="A65" t="s">
        <v>14</v>
      </c>
      <c r="G65">
        <v>5</v>
      </c>
      <c r="N65">
        <v>11</v>
      </c>
      <c r="Q65">
        <v>5</v>
      </c>
      <c r="S65">
        <v>5</v>
      </c>
      <c r="T65">
        <v>6</v>
      </c>
      <c r="U65">
        <v>5</v>
      </c>
      <c r="Z65">
        <v>6</v>
      </c>
      <c r="AB65">
        <v>0</v>
      </c>
      <c r="AC65">
        <v>6</v>
      </c>
      <c r="AD65">
        <v>5</v>
      </c>
      <c r="AE65">
        <v>30</v>
      </c>
      <c r="AH65">
        <f>SUM(B65:AE65)</f>
        <v>84</v>
      </c>
      <c r="AI65" t="s">
        <v>14</v>
      </c>
    </row>
    <row r="66" spans="1:35" x14ac:dyDescent="0.3">
      <c r="A66" s="2" t="s">
        <v>0</v>
      </c>
      <c r="K66">
        <v>200</v>
      </c>
      <c r="N66" s="5">
        <v>200</v>
      </c>
      <c r="AC66" s="5">
        <v>205</v>
      </c>
      <c r="AH66">
        <f t="shared" ref="AH66:AH83" si="3">SUM(B66:AE66)</f>
        <v>605</v>
      </c>
      <c r="AI66" s="2" t="s">
        <v>0</v>
      </c>
    </row>
    <row r="67" spans="1:35" x14ac:dyDescent="0.3">
      <c r="A67" s="2" t="s">
        <v>16</v>
      </c>
      <c r="E67">
        <v>15</v>
      </c>
      <c r="H67">
        <v>130</v>
      </c>
      <c r="I67">
        <v>87</v>
      </c>
      <c r="J67" s="4">
        <v>26.18</v>
      </c>
      <c r="Q67">
        <v>149</v>
      </c>
      <c r="S67">
        <v>10</v>
      </c>
      <c r="U67">
        <v>50</v>
      </c>
      <c r="V67">
        <v>300</v>
      </c>
      <c r="X67">
        <v>20</v>
      </c>
      <c r="AA67">
        <v>10</v>
      </c>
      <c r="AC67">
        <v>240</v>
      </c>
      <c r="AH67">
        <f t="shared" si="3"/>
        <v>1037.18</v>
      </c>
      <c r="AI67" s="2" t="s">
        <v>16</v>
      </c>
    </row>
    <row r="68" spans="1:35" x14ac:dyDescent="0.3">
      <c r="A68" s="2" t="s">
        <v>34</v>
      </c>
      <c r="G68">
        <v>416</v>
      </c>
      <c r="U68">
        <v>99</v>
      </c>
      <c r="AH68">
        <f t="shared" si="3"/>
        <v>515</v>
      </c>
      <c r="AI68" s="2" t="s">
        <v>34</v>
      </c>
    </row>
    <row r="69" spans="1:35" x14ac:dyDescent="0.3">
      <c r="A69" s="2" t="s">
        <v>18</v>
      </c>
      <c r="D69">
        <v>80</v>
      </c>
      <c r="F69">
        <v>205</v>
      </c>
      <c r="G69" s="4">
        <v>748.5</v>
      </c>
      <c r="J69" s="4">
        <v>117</v>
      </c>
      <c r="N69" s="4">
        <v>714.5</v>
      </c>
      <c r="T69">
        <v>80</v>
      </c>
      <c r="U69">
        <v>1254</v>
      </c>
      <c r="V69">
        <v>60</v>
      </c>
      <c r="AC69">
        <v>198.4</v>
      </c>
      <c r="AE69">
        <v>60</v>
      </c>
      <c r="AH69">
        <f t="shared" si="3"/>
        <v>3517.4</v>
      </c>
      <c r="AI69" s="2" t="s">
        <v>18</v>
      </c>
    </row>
    <row r="70" spans="1:35" x14ac:dyDescent="0.3">
      <c r="A70" s="2" t="s">
        <v>2</v>
      </c>
      <c r="E70">
        <v>60</v>
      </c>
      <c r="F70">
        <v>50</v>
      </c>
      <c r="H70">
        <v>40</v>
      </c>
      <c r="I70">
        <v>18</v>
      </c>
      <c r="J70" s="4">
        <v>133.61000000000001</v>
      </c>
      <c r="N70" s="4">
        <v>148.28</v>
      </c>
      <c r="Q70">
        <v>62</v>
      </c>
      <c r="S70">
        <v>85</v>
      </c>
      <c r="U70">
        <v>105.45</v>
      </c>
      <c r="V70">
        <v>120</v>
      </c>
      <c r="Z70">
        <v>50</v>
      </c>
      <c r="AC70">
        <v>70</v>
      </c>
      <c r="AD70">
        <v>27</v>
      </c>
      <c r="AE70">
        <v>43</v>
      </c>
      <c r="AH70">
        <f t="shared" si="3"/>
        <v>1012.34</v>
      </c>
      <c r="AI70" s="2" t="s">
        <v>2</v>
      </c>
    </row>
    <row r="71" spans="1:35" x14ac:dyDescent="0.3">
      <c r="A71" s="2" t="s">
        <v>19</v>
      </c>
      <c r="G71">
        <v>45</v>
      </c>
      <c r="J71" s="4">
        <v>42</v>
      </c>
      <c r="L71">
        <v>30</v>
      </c>
      <c r="N71" s="4">
        <v>15</v>
      </c>
      <c r="Q71">
        <v>25</v>
      </c>
      <c r="U71">
        <v>128.69999999999999</v>
      </c>
      <c r="V71">
        <v>130</v>
      </c>
      <c r="Z71">
        <v>120</v>
      </c>
      <c r="AB71">
        <v>65</v>
      </c>
      <c r="AE71">
        <v>20</v>
      </c>
      <c r="AH71">
        <f t="shared" si="3"/>
        <v>620.70000000000005</v>
      </c>
      <c r="AI71" s="2" t="s">
        <v>19</v>
      </c>
    </row>
    <row r="72" spans="1:35" x14ac:dyDescent="0.3">
      <c r="A72" s="2" t="s">
        <v>7</v>
      </c>
      <c r="P72">
        <v>40</v>
      </c>
      <c r="S72">
        <v>50</v>
      </c>
      <c r="W72">
        <v>40</v>
      </c>
      <c r="AB72">
        <v>40</v>
      </c>
      <c r="AC72">
        <v>60</v>
      </c>
      <c r="AH72">
        <f t="shared" si="3"/>
        <v>230</v>
      </c>
      <c r="AI72" s="2" t="s">
        <v>7</v>
      </c>
    </row>
    <row r="73" spans="1:35" x14ac:dyDescent="0.3">
      <c r="A73" s="2" t="s">
        <v>88</v>
      </c>
      <c r="V73">
        <v>150</v>
      </c>
      <c r="AH73">
        <f t="shared" si="3"/>
        <v>150</v>
      </c>
      <c r="AI73" s="2" t="s">
        <v>88</v>
      </c>
    </row>
    <row r="74" spans="1:35" x14ac:dyDescent="0.3">
      <c r="A74" s="2" t="s">
        <v>53</v>
      </c>
      <c r="I74">
        <v>40</v>
      </c>
      <c r="J74">
        <v>20</v>
      </c>
      <c r="AH74">
        <f t="shared" si="3"/>
        <v>60</v>
      </c>
      <c r="AI74" s="2" t="s">
        <v>53</v>
      </c>
    </row>
    <row r="75" spans="1:35" x14ac:dyDescent="0.3">
      <c r="A75" s="2" t="s">
        <v>11</v>
      </c>
      <c r="O75">
        <v>810</v>
      </c>
      <c r="AH75">
        <f t="shared" si="3"/>
        <v>810</v>
      </c>
      <c r="AI75" s="2" t="s">
        <v>11</v>
      </c>
    </row>
    <row r="76" spans="1:35" x14ac:dyDescent="0.3">
      <c r="A76" s="2" t="s">
        <v>15</v>
      </c>
      <c r="K76">
        <v>334</v>
      </c>
      <c r="L76">
        <v>247</v>
      </c>
      <c r="M76">
        <v>286</v>
      </c>
      <c r="N76">
        <v>279</v>
      </c>
      <c r="O76" s="3"/>
      <c r="P76" s="3"/>
      <c r="AH76">
        <f t="shared" si="3"/>
        <v>1146</v>
      </c>
      <c r="AI76" s="2" t="s">
        <v>15</v>
      </c>
    </row>
    <row r="77" spans="1:35" x14ac:dyDescent="0.3">
      <c r="A77" s="2" t="s">
        <v>13</v>
      </c>
      <c r="K77" s="3"/>
      <c r="L77" s="3"/>
      <c r="M77" s="3"/>
      <c r="N77" s="3"/>
      <c r="O77" s="3"/>
      <c r="P77">
        <v>200</v>
      </c>
      <c r="AH77">
        <f t="shared" si="3"/>
        <v>200</v>
      </c>
      <c r="AI77" s="2" t="s">
        <v>13</v>
      </c>
    </row>
    <row r="78" spans="1:35" x14ac:dyDescent="0.3">
      <c r="A78" s="2" t="s">
        <v>17</v>
      </c>
      <c r="K78" s="3"/>
      <c r="L78" s="3"/>
      <c r="M78" s="3"/>
      <c r="N78" s="3"/>
      <c r="O78" s="3"/>
      <c r="P78">
        <v>1179</v>
      </c>
      <c r="Y78">
        <v>201</v>
      </c>
      <c r="AH78">
        <f t="shared" si="3"/>
        <v>1380</v>
      </c>
      <c r="AI78" s="2" t="s">
        <v>17</v>
      </c>
    </row>
    <row r="79" spans="1:35" x14ac:dyDescent="0.3">
      <c r="A79" s="2" t="s">
        <v>20</v>
      </c>
      <c r="H79">
        <v>50</v>
      </c>
      <c r="O79">
        <v>100</v>
      </c>
      <c r="Q79" s="4">
        <v>55</v>
      </c>
      <c r="R79">
        <v>200</v>
      </c>
      <c r="Z79">
        <v>150</v>
      </c>
      <c r="AD79">
        <v>13</v>
      </c>
      <c r="AH79">
        <f t="shared" si="3"/>
        <v>568</v>
      </c>
      <c r="AI79" s="2" t="s">
        <v>20</v>
      </c>
    </row>
    <row r="80" spans="1:35" x14ac:dyDescent="0.3">
      <c r="A80" s="2" t="s">
        <v>12</v>
      </c>
      <c r="C80">
        <v>1350</v>
      </c>
      <c r="D80">
        <v>124</v>
      </c>
      <c r="E80">
        <v>9000</v>
      </c>
      <c r="H80">
        <v>335</v>
      </c>
      <c r="K80">
        <v>12</v>
      </c>
      <c r="L80">
        <v>280</v>
      </c>
      <c r="N80">
        <v>4709</v>
      </c>
      <c r="T80">
        <v>90696</v>
      </c>
      <c r="Z80">
        <v>180</v>
      </c>
      <c r="AB80">
        <v>70</v>
      </c>
      <c r="AC80">
        <v>155</v>
      </c>
      <c r="AD80" s="3"/>
      <c r="AH80">
        <f t="shared" si="3"/>
        <v>106911</v>
      </c>
      <c r="AI80" s="2" t="s">
        <v>12</v>
      </c>
    </row>
    <row r="81" spans="1:37" x14ac:dyDescent="0.3">
      <c r="A81" s="2" t="s">
        <v>8</v>
      </c>
      <c r="C81">
        <v>1000</v>
      </c>
      <c r="L81">
        <v>209</v>
      </c>
      <c r="AH81">
        <f t="shared" si="3"/>
        <v>1209</v>
      </c>
      <c r="AI81" s="2" t="s">
        <v>8</v>
      </c>
    </row>
    <row r="82" spans="1:37" x14ac:dyDescent="0.3">
      <c r="A82" s="2" t="s">
        <v>24</v>
      </c>
      <c r="B82">
        <v>12922</v>
      </c>
      <c r="F82">
        <v>20</v>
      </c>
      <c r="S82">
        <v>10</v>
      </c>
      <c r="V82">
        <v>30</v>
      </c>
      <c r="AH82">
        <f t="shared" si="3"/>
        <v>12982</v>
      </c>
      <c r="AI82" s="2" t="s">
        <v>24</v>
      </c>
    </row>
    <row r="83" spans="1:37" x14ac:dyDescent="0.3">
      <c r="A83" s="2" t="s">
        <v>4</v>
      </c>
      <c r="C83">
        <v>170</v>
      </c>
      <c r="H83">
        <v>135</v>
      </c>
      <c r="AB83">
        <v>364</v>
      </c>
      <c r="AE83">
        <v>10</v>
      </c>
      <c r="AH83">
        <f t="shared" si="3"/>
        <v>679</v>
      </c>
      <c r="AI83" s="2" t="s">
        <v>4</v>
      </c>
    </row>
    <row r="84" spans="1:37" x14ac:dyDescent="0.3">
      <c r="A84" s="2"/>
      <c r="Q84" s="6">
        <f>SUM(B64:AE83)</f>
        <v>134584.62</v>
      </c>
      <c r="R84">
        <v>-104405</v>
      </c>
      <c r="S84">
        <v>-12922</v>
      </c>
      <c r="U84">
        <f>SUM(Q84:S84)</f>
        <v>17257.619999999995</v>
      </c>
      <c r="AK84">
        <f>SUM(AK62,Q84)</f>
        <v>195541.72</v>
      </c>
    </row>
    <row r="85" spans="1:37" x14ac:dyDescent="0.3">
      <c r="B85" s="1">
        <v>45413</v>
      </c>
      <c r="C85" s="1">
        <v>45414</v>
      </c>
      <c r="D85" s="1">
        <v>45415</v>
      </c>
      <c r="E85" s="1">
        <v>45416</v>
      </c>
      <c r="F85" s="1">
        <v>45417</v>
      </c>
      <c r="G85" s="1">
        <v>45418</v>
      </c>
      <c r="H85" s="1">
        <v>45419</v>
      </c>
      <c r="I85" s="1">
        <v>45420</v>
      </c>
      <c r="J85" s="1">
        <v>45421</v>
      </c>
      <c r="K85" s="1">
        <v>45422</v>
      </c>
      <c r="L85" s="1">
        <v>45423</v>
      </c>
      <c r="M85" s="1">
        <v>45424</v>
      </c>
      <c r="N85" s="1">
        <v>45425</v>
      </c>
      <c r="O85" s="1">
        <v>45426</v>
      </c>
      <c r="P85" s="1">
        <v>45427</v>
      </c>
      <c r="Q85" s="1">
        <v>45428</v>
      </c>
      <c r="R85" s="1">
        <v>45429</v>
      </c>
      <c r="S85" s="1">
        <v>45430</v>
      </c>
      <c r="T85" s="1">
        <v>45431</v>
      </c>
      <c r="U85" s="1">
        <v>45432</v>
      </c>
      <c r="V85" s="1">
        <v>45433</v>
      </c>
      <c r="W85" s="1">
        <v>45434</v>
      </c>
      <c r="X85" s="1">
        <v>45435</v>
      </c>
      <c r="Y85" s="1">
        <v>45436</v>
      </c>
      <c r="Z85" s="1">
        <v>45437</v>
      </c>
      <c r="AA85" s="1">
        <v>45438</v>
      </c>
      <c r="AB85" s="1">
        <v>45439</v>
      </c>
      <c r="AC85" s="1">
        <v>45440</v>
      </c>
      <c r="AD85" s="1">
        <v>45441</v>
      </c>
      <c r="AE85" s="1">
        <v>45442</v>
      </c>
      <c r="AF85" s="1">
        <v>45443</v>
      </c>
    </row>
    <row r="86" spans="1:37" x14ac:dyDescent="0.3">
      <c r="A86" s="2" t="s">
        <v>5</v>
      </c>
      <c r="B86">
        <v>39</v>
      </c>
      <c r="C86">
        <v>48</v>
      </c>
      <c r="D86">
        <v>26</v>
      </c>
      <c r="E86">
        <v>48</v>
      </c>
      <c r="F86">
        <v>0</v>
      </c>
      <c r="G86">
        <v>48</v>
      </c>
      <c r="H86">
        <v>48</v>
      </c>
      <c r="I86">
        <v>26</v>
      </c>
      <c r="J86">
        <v>48</v>
      </c>
      <c r="K86">
        <v>0</v>
      </c>
      <c r="L86">
        <v>48</v>
      </c>
      <c r="M86">
        <v>22</v>
      </c>
      <c r="N86">
        <v>0</v>
      </c>
      <c r="O86" s="4">
        <v>48</v>
      </c>
      <c r="P86">
        <v>22</v>
      </c>
      <c r="Q86">
        <v>0</v>
      </c>
      <c r="R86">
        <v>48</v>
      </c>
      <c r="S86">
        <v>48</v>
      </c>
      <c r="T86">
        <v>0</v>
      </c>
      <c r="U86">
        <v>26</v>
      </c>
      <c r="V86">
        <v>48</v>
      </c>
      <c r="W86">
        <v>22</v>
      </c>
      <c r="X86">
        <v>48</v>
      </c>
      <c r="Y86">
        <v>22</v>
      </c>
      <c r="Z86">
        <v>48</v>
      </c>
      <c r="AA86">
        <v>48</v>
      </c>
      <c r="AB86">
        <v>48</v>
      </c>
      <c r="AC86">
        <v>22</v>
      </c>
      <c r="AD86">
        <v>26</v>
      </c>
      <c r="AE86">
        <v>22</v>
      </c>
      <c r="AF86">
        <v>48</v>
      </c>
      <c r="AH86">
        <f>SUM(B86:AF86)</f>
        <v>995</v>
      </c>
      <c r="AI86" s="2" t="s">
        <v>5</v>
      </c>
    </row>
    <row r="87" spans="1:37" x14ac:dyDescent="0.3">
      <c r="A87" t="s">
        <v>14</v>
      </c>
      <c r="C87">
        <v>5</v>
      </c>
      <c r="G87">
        <v>5</v>
      </c>
      <c r="H87">
        <v>5</v>
      </c>
      <c r="I87">
        <v>5</v>
      </c>
      <c r="L87">
        <v>5</v>
      </c>
      <c r="S87">
        <v>5</v>
      </c>
      <c r="T87">
        <v>0</v>
      </c>
      <c r="Z87">
        <v>5</v>
      </c>
      <c r="AH87">
        <f>SUM(B87:AF87)</f>
        <v>35</v>
      </c>
      <c r="AI87" t="s">
        <v>14</v>
      </c>
    </row>
    <row r="88" spans="1:37" x14ac:dyDescent="0.3">
      <c r="A88" s="2" t="s">
        <v>0</v>
      </c>
      <c r="B88">
        <v>1000</v>
      </c>
      <c r="C88">
        <v>200</v>
      </c>
      <c r="U88">
        <v>200</v>
      </c>
      <c r="Z88">
        <v>200</v>
      </c>
      <c r="AA88">
        <v>200</v>
      </c>
      <c r="AH88">
        <f t="shared" ref="AH88:AH103" si="4">SUM(B88:AF88)</f>
        <v>1800</v>
      </c>
      <c r="AI88" s="2" t="s">
        <v>0</v>
      </c>
    </row>
    <row r="89" spans="1:37" x14ac:dyDescent="0.3">
      <c r="A89" s="2" t="s">
        <v>16</v>
      </c>
      <c r="B89">
        <v>30</v>
      </c>
      <c r="C89">
        <v>15</v>
      </c>
      <c r="F89">
        <v>13</v>
      </c>
      <c r="H89">
        <v>15</v>
      </c>
      <c r="J89">
        <v>60</v>
      </c>
      <c r="M89">
        <v>180</v>
      </c>
      <c r="O89">
        <v>30</v>
      </c>
      <c r="P89">
        <v>20</v>
      </c>
      <c r="S89">
        <v>40</v>
      </c>
      <c r="U89">
        <v>20</v>
      </c>
      <c r="V89">
        <v>16</v>
      </c>
      <c r="X89">
        <v>444</v>
      </c>
      <c r="Z89">
        <v>75</v>
      </c>
      <c r="AB89">
        <v>40</v>
      </c>
      <c r="AC89">
        <v>20</v>
      </c>
      <c r="AE89">
        <v>40</v>
      </c>
      <c r="AH89">
        <f t="shared" si="4"/>
        <v>1058</v>
      </c>
      <c r="AI89" s="2" t="s">
        <v>16</v>
      </c>
    </row>
    <row r="90" spans="1:37" x14ac:dyDescent="0.3">
      <c r="A90" s="2" t="s">
        <v>34</v>
      </c>
      <c r="G90">
        <v>406.4</v>
      </c>
      <c r="J90">
        <v>28.36</v>
      </c>
      <c r="Q90">
        <v>535</v>
      </c>
      <c r="AH90">
        <f t="shared" si="4"/>
        <v>969.76</v>
      </c>
      <c r="AI90" s="2" t="s">
        <v>34</v>
      </c>
    </row>
    <row r="91" spans="1:37" x14ac:dyDescent="0.3">
      <c r="A91" s="2" t="s">
        <v>18</v>
      </c>
      <c r="E91">
        <v>122</v>
      </c>
      <c r="J91">
        <v>2112.42</v>
      </c>
      <c r="Q91">
        <v>555</v>
      </c>
      <c r="R91" s="4">
        <v>667</v>
      </c>
      <c r="S91">
        <v>289</v>
      </c>
      <c r="U91">
        <v>70</v>
      </c>
      <c r="V91">
        <v>80</v>
      </c>
      <c r="X91">
        <v>20</v>
      </c>
      <c r="AB91">
        <v>138</v>
      </c>
      <c r="AH91">
        <f t="shared" si="4"/>
        <v>4053.42</v>
      </c>
      <c r="AI91" s="2" t="s">
        <v>18</v>
      </c>
    </row>
    <row r="92" spans="1:37" x14ac:dyDescent="0.3">
      <c r="A92" s="2" t="s">
        <v>2</v>
      </c>
      <c r="D92">
        <v>20</v>
      </c>
      <c r="F92">
        <v>34</v>
      </c>
      <c r="H92">
        <v>70</v>
      </c>
      <c r="I92">
        <v>21</v>
      </c>
      <c r="L92">
        <v>199</v>
      </c>
      <c r="M92">
        <v>360</v>
      </c>
      <c r="R92">
        <v>26</v>
      </c>
      <c r="V92">
        <v>15</v>
      </c>
      <c r="X92">
        <v>360</v>
      </c>
      <c r="AB92">
        <v>47</v>
      </c>
      <c r="AC92">
        <v>22</v>
      </c>
      <c r="AE92">
        <v>85</v>
      </c>
      <c r="AH92">
        <f t="shared" si="4"/>
        <v>1259</v>
      </c>
      <c r="AI92" s="2" t="s">
        <v>2</v>
      </c>
    </row>
    <row r="93" spans="1:37" x14ac:dyDescent="0.3">
      <c r="A93" s="2" t="s">
        <v>19</v>
      </c>
      <c r="F93">
        <v>50</v>
      </c>
      <c r="G93">
        <v>75</v>
      </c>
      <c r="I93">
        <v>80</v>
      </c>
      <c r="M93">
        <v>165</v>
      </c>
      <c r="Y93">
        <v>70</v>
      </c>
      <c r="AA93">
        <v>60</v>
      </c>
      <c r="AC93">
        <v>30</v>
      </c>
      <c r="AF93">
        <v>40</v>
      </c>
      <c r="AH93">
        <f t="shared" si="4"/>
        <v>570</v>
      </c>
      <c r="AI93" s="2" t="s">
        <v>19</v>
      </c>
    </row>
    <row r="94" spans="1:37" x14ac:dyDescent="0.3">
      <c r="A94" s="2" t="s">
        <v>7</v>
      </c>
      <c r="H94">
        <v>30</v>
      </c>
      <c r="M94">
        <v>40</v>
      </c>
      <c r="V94">
        <v>40</v>
      </c>
      <c r="AH94">
        <f t="shared" si="4"/>
        <v>110</v>
      </c>
      <c r="AI94" s="2" t="s">
        <v>7</v>
      </c>
    </row>
    <row r="95" spans="1:37" x14ac:dyDescent="0.3">
      <c r="A95" s="2" t="s">
        <v>88</v>
      </c>
      <c r="Y95">
        <v>42</v>
      </c>
      <c r="AH95">
        <f t="shared" si="4"/>
        <v>42</v>
      </c>
      <c r="AI95" s="2" t="s">
        <v>88</v>
      </c>
    </row>
    <row r="96" spans="1:37" x14ac:dyDescent="0.3">
      <c r="A96" s="2" t="s">
        <v>15</v>
      </c>
      <c r="K96">
        <v>422</v>
      </c>
      <c r="L96">
        <v>309</v>
      </c>
      <c r="M96">
        <v>320</v>
      </c>
      <c r="N96">
        <v>236</v>
      </c>
      <c r="AH96">
        <f t="shared" si="4"/>
        <v>1287</v>
      </c>
      <c r="AI96" s="2" t="s">
        <v>15</v>
      </c>
    </row>
    <row r="97" spans="1:37" x14ac:dyDescent="0.3">
      <c r="A97" s="2" t="s">
        <v>13</v>
      </c>
      <c r="P97">
        <v>200</v>
      </c>
      <c r="AH97">
        <f t="shared" si="4"/>
        <v>200</v>
      </c>
      <c r="AI97" s="2" t="s">
        <v>13</v>
      </c>
    </row>
    <row r="98" spans="1:37" x14ac:dyDescent="0.3">
      <c r="A98" s="2" t="s">
        <v>17</v>
      </c>
      <c r="P98">
        <v>1179</v>
      </c>
      <c r="AH98">
        <f t="shared" si="4"/>
        <v>1179</v>
      </c>
      <c r="AI98" s="2" t="s">
        <v>17</v>
      </c>
    </row>
    <row r="99" spans="1:37" x14ac:dyDescent="0.3">
      <c r="A99" s="2" t="s">
        <v>20</v>
      </c>
      <c r="D99">
        <v>200</v>
      </c>
      <c r="G99">
        <v>195</v>
      </c>
      <c r="K99">
        <v>35</v>
      </c>
      <c r="O99">
        <v>500</v>
      </c>
      <c r="P99">
        <v>200</v>
      </c>
      <c r="W99">
        <v>56</v>
      </c>
      <c r="AA99">
        <v>10</v>
      </c>
      <c r="AB99">
        <v>10</v>
      </c>
      <c r="AC99">
        <v>10</v>
      </c>
      <c r="AF99">
        <v>224</v>
      </c>
      <c r="AH99">
        <f t="shared" si="4"/>
        <v>1440</v>
      </c>
      <c r="AI99" s="2" t="s">
        <v>20</v>
      </c>
    </row>
    <row r="100" spans="1:37" x14ac:dyDescent="0.3">
      <c r="A100" s="2" t="s">
        <v>12</v>
      </c>
      <c r="B100">
        <v>3500</v>
      </c>
      <c r="S100">
        <v>150</v>
      </c>
      <c r="U100">
        <v>4</v>
      </c>
      <c r="Y100">
        <v>10</v>
      </c>
      <c r="AE100">
        <v>33</v>
      </c>
      <c r="AH100">
        <f t="shared" si="4"/>
        <v>3697</v>
      </c>
      <c r="AI100" s="2" t="s">
        <v>12</v>
      </c>
    </row>
    <row r="101" spans="1:37" x14ac:dyDescent="0.3">
      <c r="A101" s="2" t="s">
        <v>8</v>
      </c>
      <c r="W101">
        <v>209</v>
      </c>
      <c r="AH101">
        <f t="shared" si="4"/>
        <v>209</v>
      </c>
      <c r="AI101" s="2" t="s">
        <v>8</v>
      </c>
    </row>
    <row r="102" spans="1:37" x14ac:dyDescent="0.3">
      <c r="A102" s="2" t="s">
        <v>24</v>
      </c>
      <c r="B102">
        <v>80</v>
      </c>
      <c r="Q102">
        <v>540</v>
      </c>
      <c r="AH102">
        <f t="shared" si="4"/>
        <v>620</v>
      </c>
      <c r="AI102" s="2" t="s">
        <v>24</v>
      </c>
    </row>
    <row r="103" spans="1:37" x14ac:dyDescent="0.3">
      <c r="A103" s="2" t="s">
        <v>4</v>
      </c>
      <c r="B103">
        <v>2350</v>
      </c>
      <c r="C103">
        <v>15</v>
      </c>
      <c r="S103">
        <v>90</v>
      </c>
      <c r="AH103">
        <f t="shared" si="4"/>
        <v>2455</v>
      </c>
      <c r="AI103" s="2" t="s">
        <v>4</v>
      </c>
    </row>
    <row r="104" spans="1:37" x14ac:dyDescent="0.3">
      <c r="Q104" s="6">
        <f>SUM(B86:AF103)</f>
        <v>21979.18</v>
      </c>
      <c r="AK104">
        <f>SUM(AK84,Q104)</f>
        <v>217520.9</v>
      </c>
    </row>
    <row r="105" spans="1:37" x14ac:dyDescent="0.3">
      <c r="B105" s="1">
        <v>45444</v>
      </c>
      <c r="C105" s="1">
        <v>45445</v>
      </c>
      <c r="D105" s="1">
        <v>45446</v>
      </c>
      <c r="E105" s="1">
        <v>45447</v>
      </c>
      <c r="F105" s="1">
        <v>45448</v>
      </c>
      <c r="G105" s="1">
        <v>45449</v>
      </c>
      <c r="H105" s="1">
        <v>45450</v>
      </c>
      <c r="I105" s="1">
        <v>45451</v>
      </c>
      <c r="J105" s="1">
        <v>45452</v>
      </c>
      <c r="K105" s="1">
        <v>45453</v>
      </c>
      <c r="L105" s="1">
        <v>45454</v>
      </c>
      <c r="M105" s="1">
        <v>45455</v>
      </c>
      <c r="N105" s="1">
        <v>45456</v>
      </c>
      <c r="O105" s="1">
        <v>45457</v>
      </c>
      <c r="P105" s="1">
        <v>45458</v>
      </c>
      <c r="Q105" s="1">
        <v>45459</v>
      </c>
      <c r="R105" s="14">
        <v>45460</v>
      </c>
      <c r="S105" s="1">
        <v>45461</v>
      </c>
      <c r="T105" s="1">
        <v>45462</v>
      </c>
      <c r="U105" s="1">
        <v>45463</v>
      </c>
      <c r="V105" s="1">
        <v>45464</v>
      </c>
      <c r="W105" s="1">
        <v>45465</v>
      </c>
      <c r="X105" s="1">
        <v>45466</v>
      </c>
      <c r="Y105" s="1">
        <v>45467</v>
      </c>
      <c r="Z105" s="1">
        <v>45468</v>
      </c>
      <c r="AA105" s="1">
        <v>45469</v>
      </c>
      <c r="AB105" s="1">
        <v>45470</v>
      </c>
      <c r="AC105" s="1">
        <v>45471</v>
      </c>
      <c r="AD105" s="1">
        <v>45472</v>
      </c>
      <c r="AE105" s="1">
        <v>45473</v>
      </c>
    </row>
    <row r="106" spans="1:37" x14ac:dyDescent="0.3">
      <c r="A106" s="2" t="s">
        <v>5</v>
      </c>
      <c r="B106">
        <v>48</v>
      </c>
      <c r="C106">
        <v>0</v>
      </c>
      <c r="D106">
        <v>48</v>
      </c>
      <c r="E106">
        <v>48</v>
      </c>
      <c r="F106">
        <v>22</v>
      </c>
      <c r="G106">
        <v>50</v>
      </c>
      <c r="H106">
        <v>0</v>
      </c>
      <c r="I106" s="4">
        <v>26</v>
      </c>
      <c r="J106">
        <v>22</v>
      </c>
      <c r="K106" s="4">
        <v>48</v>
      </c>
      <c r="L106" s="4">
        <v>22</v>
      </c>
      <c r="M106">
        <v>60</v>
      </c>
      <c r="N106">
        <v>22</v>
      </c>
      <c r="O106">
        <v>48</v>
      </c>
      <c r="P106" s="4">
        <v>22</v>
      </c>
      <c r="Q106" s="4">
        <v>48</v>
      </c>
      <c r="AC106">
        <v>50</v>
      </c>
      <c r="AD106" s="4">
        <v>22</v>
      </c>
      <c r="AH106">
        <f>SUM(B106:AE106)</f>
        <v>606</v>
      </c>
      <c r="AI106" s="2" t="s">
        <v>5</v>
      </c>
    </row>
    <row r="107" spans="1:37" x14ac:dyDescent="0.3">
      <c r="A107" t="s">
        <v>14</v>
      </c>
      <c r="F107">
        <v>10</v>
      </c>
      <c r="K107">
        <v>5</v>
      </c>
      <c r="AH107">
        <f>SUM(B107:AE107)</f>
        <v>15</v>
      </c>
      <c r="AI107" t="s">
        <v>14</v>
      </c>
    </row>
    <row r="108" spans="1:37" x14ac:dyDescent="0.3">
      <c r="A108" s="2" t="s">
        <v>0</v>
      </c>
      <c r="B108">
        <v>1000</v>
      </c>
      <c r="R108" s="5">
        <v>200</v>
      </c>
      <c r="T108">
        <v>200</v>
      </c>
      <c r="W108">
        <v>200</v>
      </c>
      <c r="Z108">
        <v>200</v>
      </c>
      <c r="AH108">
        <f t="shared" ref="AH108:AH122" si="5">SUM(B108:AE108)</f>
        <v>1800</v>
      </c>
      <c r="AI108" s="2" t="s">
        <v>0</v>
      </c>
    </row>
    <row r="109" spans="1:37" x14ac:dyDescent="0.3">
      <c r="A109" s="2" t="s">
        <v>16</v>
      </c>
      <c r="C109">
        <v>420</v>
      </c>
      <c r="D109">
        <v>40</v>
      </c>
      <c r="E109">
        <v>62</v>
      </c>
      <c r="G109">
        <v>50</v>
      </c>
      <c r="J109">
        <v>100</v>
      </c>
      <c r="K109">
        <v>44</v>
      </c>
      <c r="P109">
        <v>25</v>
      </c>
      <c r="AD109">
        <v>408</v>
      </c>
      <c r="AH109">
        <f t="shared" si="5"/>
        <v>1149</v>
      </c>
      <c r="AI109" s="2" t="s">
        <v>16</v>
      </c>
    </row>
    <row r="110" spans="1:37" x14ac:dyDescent="0.3">
      <c r="A110" s="2" t="s">
        <v>34</v>
      </c>
      <c r="G110">
        <v>524</v>
      </c>
      <c r="J110">
        <v>200</v>
      </c>
      <c r="P110">
        <v>10</v>
      </c>
      <c r="Q110">
        <v>222.3</v>
      </c>
      <c r="AH110">
        <f t="shared" si="5"/>
        <v>956.3</v>
      </c>
      <c r="AI110" s="2" t="s">
        <v>34</v>
      </c>
    </row>
    <row r="111" spans="1:37" x14ac:dyDescent="0.3">
      <c r="A111" s="2" t="s">
        <v>18</v>
      </c>
      <c r="D111">
        <v>80</v>
      </c>
      <c r="F111">
        <v>1168.83</v>
      </c>
      <c r="G111">
        <v>520</v>
      </c>
      <c r="I111">
        <v>5</v>
      </c>
      <c r="M111">
        <v>10</v>
      </c>
      <c r="N111">
        <v>98</v>
      </c>
      <c r="P111">
        <v>110</v>
      </c>
      <c r="Q111">
        <v>885.25</v>
      </c>
      <c r="AH111">
        <f t="shared" si="5"/>
        <v>2877.08</v>
      </c>
      <c r="AI111" s="2" t="s">
        <v>18</v>
      </c>
    </row>
    <row r="112" spans="1:37" x14ac:dyDescent="0.3">
      <c r="A112" s="2" t="s">
        <v>2</v>
      </c>
      <c r="B112">
        <v>30</v>
      </c>
      <c r="C112">
        <v>250</v>
      </c>
      <c r="D112">
        <v>25</v>
      </c>
      <c r="I112">
        <v>40</v>
      </c>
      <c r="J112">
        <v>475</v>
      </c>
      <c r="P112">
        <v>35</v>
      </c>
      <c r="AH112">
        <f t="shared" si="5"/>
        <v>855</v>
      </c>
      <c r="AI112" s="2" t="s">
        <v>2</v>
      </c>
    </row>
    <row r="113" spans="1:37" x14ac:dyDescent="0.3">
      <c r="A113" s="2" t="s">
        <v>19</v>
      </c>
      <c r="I113">
        <v>30</v>
      </c>
      <c r="J113">
        <v>120</v>
      </c>
      <c r="Q113">
        <v>95.75</v>
      </c>
      <c r="R113">
        <v>165</v>
      </c>
      <c r="AH113">
        <f t="shared" si="5"/>
        <v>410.75</v>
      </c>
      <c r="AI113" s="2" t="s">
        <v>19</v>
      </c>
    </row>
    <row r="114" spans="1:37" x14ac:dyDescent="0.3">
      <c r="A114" s="2" t="s">
        <v>7</v>
      </c>
      <c r="C114">
        <v>20</v>
      </c>
      <c r="G114">
        <v>20</v>
      </c>
      <c r="J114">
        <v>30</v>
      </c>
      <c r="AD114">
        <v>30</v>
      </c>
      <c r="AH114">
        <f t="shared" si="5"/>
        <v>100</v>
      </c>
      <c r="AI114" s="2" t="s">
        <v>7</v>
      </c>
    </row>
    <row r="115" spans="1:37" x14ac:dyDescent="0.3">
      <c r="A115" s="2" t="s">
        <v>88</v>
      </c>
      <c r="I115">
        <v>20</v>
      </c>
      <c r="AH115">
        <f t="shared" si="5"/>
        <v>20</v>
      </c>
      <c r="AI115" s="2" t="s">
        <v>88</v>
      </c>
    </row>
    <row r="116" spans="1:37" x14ac:dyDescent="0.3">
      <c r="A116" s="2" t="s">
        <v>15</v>
      </c>
      <c r="K116">
        <v>494</v>
      </c>
      <c r="L116">
        <v>326</v>
      </c>
      <c r="M116">
        <v>424</v>
      </c>
      <c r="N116">
        <v>254</v>
      </c>
      <c r="AH116">
        <f t="shared" si="5"/>
        <v>1498</v>
      </c>
      <c r="AI116" s="2" t="s">
        <v>15</v>
      </c>
    </row>
    <row r="117" spans="1:37" x14ac:dyDescent="0.3">
      <c r="A117" s="2" t="s">
        <v>13</v>
      </c>
      <c r="P117">
        <v>200</v>
      </c>
      <c r="AH117">
        <f t="shared" si="5"/>
        <v>200</v>
      </c>
      <c r="AI117" s="2" t="s">
        <v>13</v>
      </c>
    </row>
    <row r="118" spans="1:37" x14ac:dyDescent="0.3">
      <c r="A118" s="2" t="s">
        <v>17</v>
      </c>
      <c r="P118">
        <v>1179</v>
      </c>
      <c r="AH118">
        <f t="shared" si="5"/>
        <v>1179</v>
      </c>
      <c r="AI118" s="2" t="s">
        <v>17</v>
      </c>
    </row>
    <row r="119" spans="1:37" x14ac:dyDescent="0.3">
      <c r="A119" s="2" t="s">
        <v>10</v>
      </c>
      <c r="H119">
        <v>10</v>
      </c>
      <c r="I119" s="4">
        <v>479.57</v>
      </c>
      <c r="P119" s="3"/>
      <c r="AH119">
        <f>SUM(B119:AE119)</f>
        <v>489.57</v>
      </c>
      <c r="AI119" s="2" t="s">
        <v>10</v>
      </c>
    </row>
    <row r="120" spans="1:37" x14ac:dyDescent="0.3">
      <c r="A120" s="2" t="s">
        <v>20</v>
      </c>
      <c r="H120">
        <v>236</v>
      </c>
      <c r="J120">
        <v>6</v>
      </c>
      <c r="V120">
        <v>300</v>
      </c>
      <c r="AA120">
        <v>24</v>
      </c>
      <c r="AH120">
        <f>SUM(B120:AE120)</f>
        <v>566</v>
      </c>
      <c r="AI120" s="2" t="s">
        <v>20</v>
      </c>
    </row>
    <row r="121" spans="1:37" x14ac:dyDescent="0.3">
      <c r="A121" s="2" t="s">
        <v>12</v>
      </c>
      <c r="B121">
        <v>3500</v>
      </c>
      <c r="E121">
        <v>25</v>
      </c>
      <c r="F121">
        <v>50</v>
      </c>
      <c r="J121">
        <v>105</v>
      </c>
      <c r="M121">
        <v>10</v>
      </c>
      <c r="Q121">
        <v>25</v>
      </c>
      <c r="S121">
        <v>340</v>
      </c>
      <c r="T121">
        <v>25</v>
      </c>
      <c r="W121">
        <v>2</v>
      </c>
      <c r="X121">
        <v>47</v>
      </c>
      <c r="AB121">
        <v>30</v>
      </c>
      <c r="AC121">
        <v>40</v>
      </c>
      <c r="AH121">
        <f t="shared" si="5"/>
        <v>4199</v>
      </c>
      <c r="AI121" s="2" t="s">
        <v>12</v>
      </c>
    </row>
    <row r="122" spans="1:37" x14ac:dyDescent="0.3">
      <c r="A122" s="2" t="s">
        <v>8</v>
      </c>
      <c r="D122">
        <v>20</v>
      </c>
      <c r="R122">
        <v>100</v>
      </c>
      <c r="U122">
        <v>209</v>
      </c>
      <c r="AH122">
        <f t="shared" si="5"/>
        <v>329</v>
      </c>
      <c r="AI122" s="2" t="s">
        <v>8</v>
      </c>
    </row>
    <row r="123" spans="1:37" x14ac:dyDescent="0.3">
      <c r="A123" s="2" t="s">
        <v>24</v>
      </c>
      <c r="B123">
        <v>200</v>
      </c>
      <c r="T123">
        <v>20</v>
      </c>
      <c r="Y123">
        <v>2800</v>
      </c>
      <c r="AH123">
        <f>SUM(B123:AE123)</f>
        <v>3020</v>
      </c>
      <c r="AI123" s="2" t="s">
        <v>24</v>
      </c>
    </row>
    <row r="124" spans="1:37" x14ac:dyDescent="0.3">
      <c r="A124" s="2" t="s">
        <v>4</v>
      </c>
      <c r="J124">
        <v>50</v>
      </c>
      <c r="L124" s="4">
        <v>10</v>
      </c>
      <c r="P124">
        <v>24</v>
      </c>
      <c r="AD124">
        <v>430</v>
      </c>
      <c r="AH124">
        <f>SUM(B124:AE124)</f>
        <v>514</v>
      </c>
      <c r="AI124" s="2" t="s">
        <v>4</v>
      </c>
    </row>
    <row r="125" spans="1:37" x14ac:dyDescent="0.3">
      <c r="Q125" s="6">
        <f>SUM(B106:AE124)</f>
        <v>20783.7</v>
      </c>
      <c r="AK125">
        <f>SUM(Q125,AK104)</f>
        <v>238304.6</v>
      </c>
    </row>
    <row r="126" spans="1:37" x14ac:dyDescent="0.3">
      <c r="B126" s="1">
        <v>45474</v>
      </c>
      <c r="C126" s="1">
        <v>45475</v>
      </c>
      <c r="D126" s="1">
        <v>45476</v>
      </c>
      <c r="E126" s="1">
        <v>45477</v>
      </c>
      <c r="F126" s="1">
        <v>45478</v>
      </c>
      <c r="G126" s="1">
        <v>45479</v>
      </c>
      <c r="H126" s="1">
        <v>45480</v>
      </c>
      <c r="I126" s="1">
        <v>45481</v>
      </c>
      <c r="J126" s="1">
        <v>45482</v>
      </c>
      <c r="K126" s="1">
        <v>45483</v>
      </c>
      <c r="L126" s="1">
        <v>45484</v>
      </c>
      <c r="M126" s="1">
        <v>45485</v>
      </c>
      <c r="N126" s="1">
        <v>45486</v>
      </c>
      <c r="O126" s="1">
        <v>45487</v>
      </c>
      <c r="P126" s="1">
        <v>45488</v>
      </c>
      <c r="Q126" s="1">
        <v>45489</v>
      </c>
      <c r="R126" s="1">
        <v>45490</v>
      </c>
      <c r="S126" s="1">
        <v>45491</v>
      </c>
      <c r="T126" s="1">
        <v>45492</v>
      </c>
      <c r="U126" s="1">
        <v>45493</v>
      </c>
      <c r="V126" s="1">
        <v>45494</v>
      </c>
      <c r="W126" s="1">
        <v>45495</v>
      </c>
      <c r="X126" s="1">
        <v>45496</v>
      </c>
      <c r="Y126" s="1">
        <v>45497</v>
      </c>
      <c r="Z126" s="1">
        <v>45498</v>
      </c>
      <c r="AA126" s="1">
        <v>45499</v>
      </c>
      <c r="AB126" s="1">
        <v>45500</v>
      </c>
      <c r="AC126" s="1">
        <v>45501</v>
      </c>
      <c r="AD126" s="1">
        <v>45502</v>
      </c>
      <c r="AE126" s="1">
        <v>45503</v>
      </c>
      <c r="AF126" s="1">
        <v>45504</v>
      </c>
    </row>
    <row r="127" spans="1:37" x14ac:dyDescent="0.3">
      <c r="A127" s="2" t="s">
        <v>5</v>
      </c>
      <c r="B127" s="4">
        <v>51</v>
      </c>
      <c r="C127" s="4">
        <v>26</v>
      </c>
      <c r="D127">
        <v>50</v>
      </c>
      <c r="E127">
        <v>24</v>
      </c>
      <c r="F127">
        <v>52</v>
      </c>
      <c r="G127">
        <v>0</v>
      </c>
      <c r="H127">
        <v>50</v>
      </c>
      <c r="I127" s="4">
        <v>24</v>
      </c>
      <c r="J127">
        <v>50</v>
      </c>
      <c r="K127">
        <v>24</v>
      </c>
      <c r="L127">
        <v>24</v>
      </c>
      <c r="M127">
        <v>50</v>
      </c>
      <c r="N127">
        <v>24</v>
      </c>
      <c r="O127">
        <v>50</v>
      </c>
      <c r="Q127">
        <v>24</v>
      </c>
      <c r="R127">
        <v>0</v>
      </c>
      <c r="S127">
        <v>24</v>
      </c>
      <c r="T127">
        <v>50</v>
      </c>
      <c r="U127">
        <v>24</v>
      </c>
      <c r="V127">
        <v>24</v>
      </c>
      <c r="W127">
        <v>24</v>
      </c>
      <c r="X127">
        <v>50</v>
      </c>
      <c r="Y127">
        <v>24</v>
      </c>
      <c r="Z127">
        <v>24</v>
      </c>
      <c r="AA127">
        <v>50</v>
      </c>
      <c r="AB127">
        <v>50</v>
      </c>
      <c r="AC127">
        <v>50</v>
      </c>
      <c r="AD127">
        <v>24</v>
      </c>
      <c r="AE127">
        <v>24</v>
      </c>
      <c r="AF127">
        <v>26</v>
      </c>
      <c r="AH127">
        <f>SUM(B127:AF127)</f>
        <v>991</v>
      </c>
      <c r="AI127" s="2" t="s">
        <v>5</v>
      </c>
    </row>
    <row r="128" spans="1:37" x14ac:dyDescent="0.3">
      <c r="A128" s="2" t="s">
        <v>0</v>
      </c>
      <c r="F128" s="5">
        <v>200</v>
      </c>
      <c r="N128">
        <v>200</v>
      </c>
      <c r="Q128" s="5">
        <v>200</v>
      </c>
      <c r="AA128">
        <v>200</v>
      </c>
      <c r="AC128" s="5">
        <v>1200</v>
      </c>
      <c r="AH128">
        <f t="shared" ref="AH128:AH143" si="6">SUM(B128:AF128)</f>
        <v>2000</v>
      </c>
      <c r="AI128" s="2" t="s">
        <v>0</v>
      </c>
    </row>
    <row r="129" spans="1:37" x14ac:dyDescent="0.3">
      <c r="A129" s="2" t="s">
        <v>16</v>
      </c>
      <c r="E129">
        <v>56</v>
      </c>
      <c r="G129">
        <v>20</v>
      </c>
      <c r="I129">
        <v>68</v>
      </c>
      <c r="L129">
        <v>131</v>
      </c>
      <c r="N129">
        <v>50</v>
      </c>
      <c r="O129">
        <v>440</v>
      </c>
      <c r="R129">
        <v>50</v>
      </c>
      <c r="V129">
        <v>133</v>
      </c>
      <c r="W129">
        <v>50</v>
      </c>
      <c r="Y129">
        <v>30</v>
      </c>
      <c r="Z129">
        <v>50</v>
      </c>
      <c r="AE129">
        <v>170</v>
      </c>
      <c r="AH129">
        <f t="shared" si="6"/>
        <v>1248</v>
      </c>
      <c r="AI129" s="2" t="s">
        <v>16</v>
      </c>
    </row>
    <row r="130" spans="1:37" x14ac:dyDescent="0.3">
      <c r="A130" s="2" t="s">
        <v>34</v>
      </c>
      <c r="G130">
        <v>26</v>
      </c>
      <c r="V130">
        <v>430</v>
      </c>
      <c r="AH130">
        <f t="shared" si="6"/>
        <v>456</v>
      </c>
      <c r="AI130" s="2" t="s">
        <v>34</v>
      </c>
    </row>
    <row r="131" spans="1:37" x14ac:dyDescent="0.3">
      <c r="A131" s="2" t="s">
        <v>18</v>
      </c>
      <c r="C131">
        <v>10</v>
      </c>
      <c r="D131" s="4">
        <v>373.6</v>
      </c>
      <c r="E131">
        <v>110</v>
      </c>
      <c r="G131">
        <v>486</v>
      </c>
      <c r="I131" s="4">
        <v>617.5</v>
      </c>
      <c r="K131">
        <v>60</v>
      </c>
      <c r="L131">
        <v>1176</v>
      </c>
      <c r="N131">
        <v>3000</v>
      </c>
      <c r="S131">
        <v>110</v>
      </c>
      <c r="T131">
        <v>1092</v>
      </c>
      <c r="AH131">
        <f t="shared" si="6"/>
        <v>7035.1</v>
      </c>
      <c r="AI131" s="2" t="s">
        <v>18</v>
      </c>
    </row>
    <row r="132" spans="1:37" x14ac:dyDescent="0.3">
      <c r="A132" s="2" t="s">
        <v>2</v>
      </c>
      <c r="E132">
        <v>33</v>
      </c>
      <c r="F132">
        <v>68</v>
      </c>
      <c r="I132">
        <v>60</v>
      </c>
      <c r="K132">
        <v>35</v>
      </c>
      <c r="L132">
        <v>90</v>
      </c>
      <c r="N132">
        <v>64</v>
      </c>
      <c r="R132">
        <v>73</v>
      </c>
      <c r="T132">
        <v>72</v>
      </c>
      <c r="V132">
        <v>180</v>
      </c>
      <c r="Z132">
        <v>55</v>
      </c>
      <c r="AA132">
        <v>42</v>
      </c>
      <c r="AD132">
        <v>49</v>
      </c>
      <c r="AE132">
        <v>25</v>
      </c>
      <c r="AH132">
        <f t="shared" si="6"/>
        <v>846</v>
      </c>
      <c r="AI132" s="2" t="s">
        <v>2</v>
      </c>
    </row>
    <row r="133" spans="1:37" x14ac:dyDescent="0.3">
      <c r="A133" s="2" t="s">
        <v>19</v>
      </c>
      <c r="C133">
        <v>25</v>
      </c>
      <c r="F133">
        <v>20</v>
      </c>
      <c r="K133">
        <v>50</v>
      </c>
      <c r="N133">
        <v>70</v>
      </c>
      <c r="S133">
        <v>80</v>
      </c>
      <c r="T133">
        <v>17.5</v>
      </c>
      <c r="U133">
        <v>75</v>
      </c>
      <c r="X133">
        <v>40</v>
      </c>
      <c r="AB133">
        <v>180</v>
      </c>
      <c r="AH133">
        <f t="shared" si="6"/>
        <v>557.5</v>
      </c>
      <c r="AI133" s="2" t="s">
        <v>19</v>
      </c>
    </row>
    <row r="134" spans="1:37" x14ac:dyDescent="0.3">
      <c r="A134" s="2" t="s">
        <v>7</v>
      </c>
      <c r="I134">
        <v>30</v>
      </c>
      <c r="O134">
        <v>90</v>
      </c>
      <c r="V134">
        <v>30</v>
      </c>
      <c r="AC134">
        <v>30</v>
      </c>
      <c r="AE134">
        <v>55</v>
      </c>
      <c r="AH134">
        <f t="shared" si="6"/>
        <v>235</v>
      </c>
      <c r="AI134" s="2" t="s">
        <v>7</v>
      </c>
    </row>
    <row r="135" spans="1:37" x14ac:dyDescent="0.3">
      <c r="A135" s="2" t="s">
        <v>54</v>
      </c>
      <c r="U135">
        <v>810</v>
      </c>
      <c r="AH135">
        <f t="shared" si="6"/>
        <v>810</v>
      </c>
      <c r="AI135" s="2" t="s">
        <v>54</v>
      </c>
    </row>
    <row r="136" spans="1:37" x14ac:dyDescent="0.3">
      <c r="A136" s="2" t="s">
        <v>15</v>
      </c>
      <c r="K136">
        <v>63</v>
      </c>
      <c r="L136">
        <v>237</v>
      </c>
      <c r="M136">
        <v>75</v>
      </c>
      <c r="N136">
        <v>351</v>
      </c>
      <c r="AH136">
        <f t="shared" si="6"/>
        <v>726</v>
      </c>
      <c r="AI136" s="2" t="s">
        <v>15</v>
      </c>
    </row>
    <row r="137" spans="1:37" x14ac:dyDescent="0.3">
      <c r="A137" s="2" t="s">
        <v>13</v>
      </c>
      <c r="P137">
        <v>200</v>
      </c>
      <c r="AH137">
        <f t="shared" si="6"/>
        <v>200</v>
      </c>
      <c r="AI137" s="2" t="s">
        <v>13</v>
      </c>
    </row>
    <row r="138" spans="1:37" x14ac:dyDescent="0.3">
      <c r="A138" s="2" t="s">
        <v>17</v>
      </c>
      <c r="J138">
        <v>19</v>
      </c>
      <c r="K138" s="3"/>
      <c r="L138" s="3"/>
      <c r="M138" s="3"/>
      <c r="N138" s="3"/>
      <c r="O138" s="3"/>
      <c r="P138">
        <v>1179</v>
      </c>
      <c r="AH138">
        <f t="shared" si="6"/>
        <v>1198</v>
      </c>
      <c r="AI138" s="2" t="s">
        <v>17</v>
      </c>
    </row>
    <row r="139" spans="1:37" x14ac:dyDescent="0.3">
      <c r="A139" s="2" t="s">
        <v>20</v>
      </c>
      <c r="F139" s="13">
        <v>71328</v>
      </c>
      <c r="P139">
        <v>14</v>
      </c>
      <c r="V139">
        <v>60</v>
      </c>
      <c r="AA139">
        <v>230</v>
      </c>
      <c r="AB139">
        <v>16</v>
      </c>
      <c r="AC139" s="13">
        <v>16851</v>
      </c>
      <c r="AH139">
        <f t="shared" si="6"/>
        <v>88499</v>
      </c>
      <c r="AI139" s="2" t="s">
        <v>20</v>
      </c>
    </row>
    <row r="140" spans="1:37" x14ac:dyDescent="0.3">
      <c r="A140" s="2" t="s">
        <v>12</v>
      </c>
      <c r="B140">
        <v>3500</v>
      </c>
      <c r="K140">
        <v>15</v>
      </c>
      <c r="Q140">
        <v>40</v>
      </c>
      <c r="T140">
        <v>220</v>
      </c>
      <c r="Z140">
        <v>50</v>
      </c>
      <c r="AH140">
        <f t="shared" si="6"/>
        <v>3825</v>
      </c>
      <c r="AI140" s="2" t="s">
        <v>12</v>
      </c>
    </row>
    <row r="141" spans="1:37" x14ac:dyDescent="0.3">
      <c r="A141" s="2" t="s">
        <v>8</v>
      </c>
      <c r="C141" s="13">
        <v>3000</v>
      </c>
      <c r="AH141">
        <f t="shared" si="6"/>
        <v>3000</v>
      </c>
      <c r="AI141" s="2" t="s">
        <v>8</v>
      </c>
    </row>
    <row r="142" spans="1:37" x14ac:dyDescent="0.3">
      <c r="A142" s="2" t="s">
        <v>24</v>
      </c>
      <c r="L142">
        <v>10</v>
      </c>
      <c r="Q142">
        <v>20</v>
      </c>
      <c r="V142">
        <v>10</v>
      </c>
      <c r="AB142" s="13">
        <v>6000</v>
      </c>
      <c r="AH142">
        <f t="shared" si="6"/>
        <v>6040</v>
      </c>
      <c r="AI142" s="2" t="s">
        <v>24</v>
      </c>
    </row>
    <row r="143" spans="1:37" x14ac:dyDescent="0.3">
      <c r="A143" s="2" t="s">
        <v>4</v>
      </c>
      <c r="L143">
        <v>30</v>
      </c>
      <c r="N143">
        <v>270</v>
      </c>
      <c r="T143" s="13">
        <v>7831</v>
      </c>
      <c r="AH143">
        <f t="shared" si="6"/>
        <v>8131</v>
      </c>
      <c r="AI143" s="2" t="s">
        <v>4</v>
      </c>
    </row>
    <row r="144" spans="1:37" x14ac:dyDescent="0.3">
      <c r="Q144" s="6">
        <f>SUM(B127:AF143)</f>
        <v>125797.6</v>
      </c>
      <c r="S144">
        <v>-105010</v>
      </c>
      <c r="U144">
        <f>SUM(Q144:T144)</f>
        <v>20787.600000000006</v>
      </c>
      <c r="AK144">
        <f>SUM(AK125,Q144)</f>
        <v>364102.2</v>
      </c>
    </row>
    <row r="145" spans="1:35" x14ac:dyDescent="0.3">
      <c r="B145" s="1">
        <v>45505</v>
      </c>
      <c r="C145" s="1">
        <v>45506</v>
      </c>
      <c r="D145" s="1">
        <v>45507</v>
      </c>
      <c r="E145" s="1">
        <v>45508</v>
      </c>
      <c r="F145" s="1">
        <v>45509</v>
      </c>
      <c r="G145" s="1">
        <v>45510</v>
      </c>
      <c r="H145" s="1">
        <v>45511</v>
      </c>
      <c r="I145" s="1">
        <v>45512</v>
      </c>
      <c r="J145" s="1">
        <v>45513</v>
      </c>
      <c r="K145" s="1">
        <v>45514</v>
      </c>
      <c r="L145" s="1">
        <v>45515</v>
      </c>
      <c r="M145" s="1">
        <v>45516</v>
      </c>
      <c r="N145" s="1">
        <v>45517</v>
      </c>
      <c r="O145" s="1">
        <v>45518</v>
      </c>
      <c r="P145" s="1">
        <v>45519</v>
      </c>
      <c r="Q145" s="1">
        <v>45520</v>
      </c>
      <c r="R145" s="1">
        <v>45521</v>
      </c>
      <c r="S145" s="1">
        <v>45522</v>
      </c>
      <c r="T145" s="1">
        <v>45523</v>
      </c>
      <c r="U145" s="1">
        <v>45524</v>
      </c>
      <c r="V145" s="1">
        <v>45525</v>
      </c>
      <c r="W145" s="1">
        <v>45526</v>
      </c>
      <c r="X145" s="1">
        <v>45527</v>
      </c>
      <c r="Y145" s="1">
        <v>45528</v>
      </c>
      <c r="Z145" s="1">
        <v>45529</v>
      </c>
      <c r="AA145" s="1">
        <v>45530</v>
      </c>
      <c r="AB145" s="1">
        <v>45531</v>
      </c>
      <c r="AC145" s="1">
        <v>45532</v>
      </c>
      <c r="AD145" s="1">
        <v>45533</v>
      </c>
      <c r="AE145" s="1">
        <v>45534</v>
      </c>
      <c r="AF145" s="1">
        <v>45535</v>
      </c>
    </row>
    <row r="146" spans="1:35" x14ac:dyDescent="0.3">
      <c r="A146" s="2" t="s">
        <v>5</v>
      </c>
      <c r="B146">
        <v>50</v>
      </c>
      <c r="C146">
        <v>24</v>
      </c>
      <c r="D146">
        <v>24</v>
      </c>
      <c r="E146">
        <v>24</v>
      </c>
      <c r="F146">
        <v>48</v>
      </c>
      <c r="G146">
        <v>24</v>
      </c>
      <c r="H146">
        <v>44</v>
      </c>
      <c r="I146" s="4">
        <v>24</v>
      </c>
      <c r="J146">
        <v>24</v>
      </c>
      <c r="K146" s="4">
        <v>24</v>
      </c>
      <c r="L146">
        <v>24</v>
      </c>
      <c r="M146">
        <v>50</v>
      </c>
      <c r="N146">
        <v>24</v>
      </c>
      <c r="O146">
        <v>24</v>
      </c>
      <c r="P146">
        <v>24</v>
      </c>
      <c r="Q146" s="4">
        <v>48</v>
      </c>
      <c r="R146" s="4">
        <v>24</v>
      </c>
      <c r="S146">
        <v>48</v>
      </c>
      <c r="T146">
        <v>0</v>
      </c>
      <c r="U146" s="4">
        <v>50</v>
      </c>
      <c r="V146" s="4">
        <v>24</v>
      </c>
      <c r="W146">
        <v>50</v>
      </c>
      <c r="X146">
        <v>24</v>
      </c>
      <c r="Y146">
        <v>24</v>
      </c>
      <c r="Z146" s="4">
        <v>24</v>
      </c>
      <c r="AA146">
        <v>24</v>
      </c>
      <c r="AB146">
        <v>50</v>
      </c>
      <c r="AC146">
        <v>24</v>
      </c>
      <c r="AD146">
        <v>24</v>
      </c>
      <c r="AE146">
        <v>50</v>
      </c>
      <c r="AF146">
        <v>0</v>
      </c>
      <c r="AH146">
        <f>SUM(B146:AF146)</f>
        <v>944</v>
      </c>
      <c r="AI146" s="2" t="s">
        <v>5</v>
      </c>
    </row>
    <row r="147" spans="1:35" x14ac:dyDescent="0.3">
      <c r="A147" s="2" t="s">
        <v>0</v>
      </c>
      <c r="F147">
        <v>200</v>
      </c>
      <c r="P147">
        <v>200</v>
      </c>
      <c r="Q147" s="5">
        <v>200</v>
      </c>
      <c r="AC147" s="5">
        <v>200</v>
      </c>
      <c r="AE147">
        <v>1700</v>
      </c>
      <c r="AH147">
        <f>SUM(B147:AF147)</f>
        <v>2500</v>
      </c>
      <c r="AI147" s="2" t="s">
        <v>0</v>
      </c>
    </row>
    <row r="148" spans="1:35" x14ac:dyDescent="0.3">
      <c r="A148" s="2" t="s">
        <v>16</v>
      </c>
      <c r="B148">
        <v>98</v>
      </c>
      <c r="E148">
        <v>240</v>
      </c>
      <c r="F148">
        <v>43</v>
      </c>
      <c r="H148">
        <v>170</v>
      </c>
      <c r="I148" s="4">
        <v>23</v>
      </c>
      <c r="K148">
        <v>28</v>
      </c>
      <c r="L148">
        <v>330</v>
      </c>
      <c r="N148">
        <v>131</v>
      </c>
      <c r="R148">
        <v>20</v>
      </c>
      <c r="S148" s="4">
        <v>85.43</v>
      </c>
      <c r="U148">
        <v>14</v>
      </c>
      <c r="V148">
        <v>30</v>
      </c>
      <c r="Z148">
        <v>450</v>
      </c>
      <c r="AA148" s="4">
        <v>61</v>
      </c>
      <c r="AF148">
        <v>155</v>
      </c>
      <c r="AH148">
        <f t="shared" ref="AH148:AH163" si="7">SUM(B148:AF148)</f>
        <v>1878.43</v>
      </c>
      <c r="AI148" s="2" t="s">
        <v>16</v>
      </c>
    </row>
    <row r="149" spans="1:35" x14ac:dyDescent="0.3">
      <c r="A149" s="2" t="s">
        <v>34</v>
      </c>
      <c r="I149">
        <v>215</v>
      </c>
      <c r="L149">
        <v>100</v>
      </c>
      <c r="AH149">
        <f t="shared" si="7"/>
        <v>315</v>
      </c>
      <c r="AI149" s="2" t="s">
        <v>34</v>
      </c>
    </row>
    <row r="150" spans="1:35" x14ac:dyDescent="0.3">
      <c r="A150" s="2" t="s">
        <v>18</v>
      </c>
      <c r="B150">
        <v>443</v>
      </c>
      <c r="F150">
        <v>110</v>
      </c>
      <c r="H150">
        <v>505</v>
      </c>
      <c r="I150" s="4">
        <v>1499.44</v>
      </c>
      <c r="Q150">
        <v>170</v>
      </c>
      <c r="S150" s="4">
        <v>16.5</v>
      </c>
      <c r="Y150">
        <v>114</v>
      </c>
      <c r="AA150" s="4">
        <v>221</v>
      </c>
      <c r="AE150">
        <v>120</v>
      </c>
      <c r="AF150">
        <v>20</v>
      </c>
      <c r="AH150">
        <f t="shared" si="7"/>
        <v>3218.94</v>
      </c>
      <c r="AI150" s="2" t="s">
        <v>18</v>
      </c>
    </row>
    <row r="151" spans="1:35" x14ac:dyDescent="0.3">
      <c r="A151" s="2" t="s">
        <v>2</v>
      </c>
      <c r="B151">
        <v>47</v>
      </c>
      <c r="D151">
        <v>67</v>
      </c>
      <c r="E151">
        <v>190</v>
      </c>
      <c r="H151">
        <v>30</v>
      </c>
      <c r="K151">
        <v>29</v>
      </c>
      <c r="Q151">
        <v>64</v>
      </c>
      <c r="U151">
        <v>40</v>
      </c>
      <c r="V151">
        <v>27</v>
      </c>
      <c r="Y151">
        <v>30</v>
      </c>
      <c r="Z151">
        <v>50</v>
      </c>
      <c r="AC151">
        <v>80</v>
      </c>
      <c r="AF151">
        <v>110</v>
      </c>
      <c r="AH151">
        <f t="shared" si="7"/>
        <v>764</v>
      </c>
      <c r="AI151" s="2" t="s">
        <v>2</v>
      </c>
    </row>
    <row r="152" spans="1:35" x14ac:dyDescent="0.3">
      <c r="A152" s="2" t="s">
        <v>19</v>
      </c>
      <c r="D152">
        <v>70</v>
      </c>
      <c r="F152">
        <v>40</v>
      </c>
      <c r="K152">
        <v>70</v>
      </c>
      <c r="L152">
        <v>95</v>
      </c>
      <c r="M152">
        <v>80</v>
      </c>
      <c r="R152">
        <v>95</v>
      </c>
      <c r="S152" s="4">
        <v>59.25</v>
      </c>
      <c r="V152">
        <v>70</v>
      </c>
      <c r="AC152">
        <v>115</v>
      </c>
      <c r="AE152">
        <v>40</v>
      </c>
      <c r="AF152">
        <v>260</v>
      </c>
      <c r="AH152">
        <f t="shared" si="7"/>
        <v>994.25</v>
      </c>
      <c r="AI152" s="2" t="s">
        <v>19</v>
      </c>
    </row>
    <row r="153" spans="1:35" x14ac:dyDescent="0.3">
      <c r="A153" s="2" t="s">
        <v>7</v>
      </c>
      <c r="C153">
        <v>30</v>
      </c>
      <c r="E153">
        <v>50</v>
      </c>
      <c r="L153">
        <v>80</v>
      </c>
      <c r="S153">
        <v>30</v>
      </c>
      <c r="U153">
        <v>30</v>
      </c>
      <c r="Z153">
        <v>80</v>
      </c>
      <c r="AH153">
        <f t="shared" si="7"/>
        <v>300</v>
      </c>
      <c r="AI153" s="2" t="s">
        <v>7</v>
      </c>
    </row>
    <row r="154" spans="1:35" x14ac:dyDescent="0.3">
      <c r="A154" s="2" t="s">
        <v>15</v>
      </c>
      <c r="I154">
        <v>280</v>
      </c>
      <c r="K154">
        <v>425</v>
      </c>
      <c r="L154">
        <v>320</v>
      </c>
      <c r="M154">
        <v>465</v>
      </c>
      <c r="N154">
        <v>281</v>
      </c>
      <c r="AH154">
        <f t="shared" si="7"/>
        <v>1771</v>
      </c>
      <c r="AI154" s="2" t="s">
        <v>15</v>
      </c>
    </row>
    <row r="155" spans="1:35" x14ac:dyDescent="0.3">
      <c r="A155" s="2" t="s">
        <v>13</v>
      </c>
      <c r="P155">
        <v>200</v>
      </c>
      <c r="AH155">
        <f t="shared" si="7"/>
        <v>200</v>
      </c>
      <c r="AI155" s="2" t="s">
        <v>13</v>
      </c>
    </row>
    <row r="156" spans="1:35" x14ac:dyDescent="0.3">
      <c r="A156" s="2" t="s">
        <v>17</v>
      </c>
      <c r="J156">
        <v>201</v>
      </c>
      <c r="P156">
        <v>1179</v>
      </c>
      <c r="AH156">
        <f t="shared" si="7"/>
        <v>1380</v>
      </c>
      <c r="AI156" s="2" t="s">
        <v>17</v>
      </c>
    </row>
    <row r="157" spans="1:35" x14ac:dyDescent="0.3">
      <c r="A157" s="2" t="s">
        <v>20</v>
      </c>
      <c r="D157">
        <v>284</v>
      </c>
      <c r="E157">
        <v>330</v>
      </c>
      <c r="F157">
        <v>500</v>
      </c>
      <c r="O157">
        <v>224</v>
      </c>
      <c r="R157">
        <v>50</v>
      </c>
      <c r="W157">
        <v>200</v>
      </c>
      <c r="X157">
        <v>24</v>
      </c>
      <c r="AH157">
        <f t="shared" si="7"/>
        <v>1612</v>
      </c>
      <c r="AI157" s="2" t="s">
        <v>20</v>
      </c>
    </row>
    <row r="158" spans="1:35" x14ac:dyDescent="0.3">
      <c r="A158" s="2" t="s">
        <v>12</v>
      </c>
      <c r="B158">
        <v>3535</v>
      </c>
      <c r="C158">
        <v>40</v>
      </c>
      <c r="E158">
        <v>200</v>
      </c>
      <c r="M158">
        <v>20</v>
      </c>
      <c r="R158">
        <v>20</v>
      </c>
      <c r="AE158">
        <v>25</v>
      </c>
      <c r="AH158">
        <f t="shared" si="7"/>
        <v>3840</v>
      </c>
      <c r="AI158" s="2" t="s">
        <v>12</v>
      </c>
    </row>
    <row r="159" spans="1:35" x14ac:dyDescent="0.3">
      <c r="A159" s="2" t="s">
        <v>88</v>
      </c>
      <c r="AF159">
        <v>320</v>
      </c>
      <c r="AH159">
        <f t="shared" si="7"/>
        <v>320</v>
      </c>
      <c r="AI159" s="2" t="s">
        <v>88</v>
      </c>
    </row>
    <row r="160" spans="1:35" x14ac:dyDescent="0.3">
      <c r="A160" s="2" t="s">
        <v>24</v>
      </c>
      <c r="T160">
        <v>250</v>
      </c>
      <c r="AF160">
        <v>300</v>
      </c>
      <c r="AH160">
        <f t="shared" si="7"/>
        <v>550</v>
      </c>
      <c r="AI160" s="2" t="s">
        <v>24</v>
      </c>
    </row>
    <row r="161" spans="1:37" x14ac:dyDescent="0.3">
      <c r="A161" s="2" t="s">
        <v>89</v>
      </c>
      <c r="L161">
        <v>12</v>
      </c>
      <c r="M161">
        <v>20</v>
      </c>
      <c r="N161">
        <v>16</v>
      </c>
      <c r="O161">
        <v>12</v>
      </c>
      <c r="V161">
        <v>30</v>
      </c>
      <c r="AC161">
        <v>25</v>
      </c>
      <c r="AH161">
        <f>SUM(B161:AF161)</f>
        <v>115</v>
      </c>
      <c r="AI161" s="2" t="s">
        <v>89</v>
      </c>
    </row>
    <row r="162" spans="1:37" x14ac:dyDescent="0.3">
      <c r="A162" s="2" t="s">
        <v>23</v>
      </c>
      <c r="AF162">
        <v>30</v>
      </c>
      <c r="AH162">
        <f t="shared" si="7"/>
        <v>30</v>
      </c>
      <c r="AI162" s="2" t="s">
        <v>23</v>
      </c>
    </row>
    <row r="163" spans="1:37" x14ac:dyDescent="0.3">
      <c r="A163" s="2" t="s">
        <v>4</v>
      </c>
      <c r="B163">
        <v>20</v>
      </c>
      <c r="J163">
        <v>132</v>
      </c>
      <c r="K163">
        <v>360</v>
      </c>
      <c r="L163">
        <v>60</v>
      </c>
      <c r="M163">
        <v>6</v>
      </c>
      <c r="AH163">
        <f t="shared" si="7"/>
        <v>578</v>
      </c>
      <c r="AI163" s="2" t="s">
        <v>4</v>
      </c>
    </row>
    <row r="164" spans="1:37" x14ac:dyDescent="0.3">
      <c r="Q164" s="6">
        <f>SUM(B146:AF163)</f>
        <v>21310.620000000003</v>
      </c>
      <c r="AK164">
        <f>SUM(AK144,Q164)</f>
        <v>385412.82</v>
      </c>
    </row>
    <row r="165" spans="1:37" x14ac:dyDescent="0.3">
      <c r="B165" s="1">
        <v>45536</v>
      </c>
      <c r="C165" s="1">
        <v>45537</v>
      </c>
      <c r="D165" s="1">
        <v>45538</v>
      </c>
      <c r="E165" s="1">
        <v>45539</v>
      </c>
      <c r="F165" s="1">
        <v>45540</v>
      </c>
      <c r="G165" s="1">
        <v>45541</v>
      </c>
      <c r="H165" s="1">
        <v>45542</v>
      </c>
      <c r="I165" s="1">
        <v>45543</v>
      </c>
      <c r="J165" s="1">
        <v>45544</v>
      </c>
      <c r="K165" s="1">
        <v>45545</v>
      </c>
      <c r="L165" s="1">
        <v>45546</v>
      </c>
      <c r="M165" s="1">
        <v>45547</v>
      </c>
      <c r="N165" s="1">
        <v>45548</v>
      </c>
      <c r="O165" s="1">
        <v>45549</v>
      </c>
      <c r="P165" s="1">
        <v>45550</v>
      </c>
      <c r="Q165" s="1">
        <v>45551</v>
      </c>
      <c r="R165" s="1">
        <v>45552</v>
      </c>
      <c r="S165" s="1">
        <v>45553</v>
      </c>
      <c r="T165" s="1">
        <v>45554</v>
      </c>
      <c r="U165" s="1">
        <v>45555</v>
      </c>
      <c r="V165" s="1">
        <v>45556</v>
      </c>
      <c r="W165" s="1">
        <v>45557</v>
      </c>
      <c r="X165" s="1">
        <v>45558</v>
      </c>
      <c r="Y165" s="1">
        <v>45559</v>
      </c>
      <c r="Z165" s="1">
        <v>45560</v>
      </c>
      <c r="AA165" s="1">
        <v>45561</v>
      </c>
      <c r="AB165" s="1">
        <v>45562</v>
      </c>
      <c r="AC165" s="1">
        <v>45563</v>
      </c>
      <c r="AD165" s="1">
        <v>45564</v>
      </c>
      <c r="AE165" s="1">
        <v>45565</v>
      </c>
    </row>
    <row r="166" spans="1:37" x14ac:dyDescent="0.3">
      <c r="A166" s="2" t="s">
        <v>5</v>
      </c>
      <c r="B166">
        <v>24</v>
      </c>
      <c r="C166">
        <v>50</v>
      </c>
      <c r="D166">
        <v>24</v>
      </c>
      <c r="E166">
        <v>50</v>
      </c>
      <c r="F166" s="4">
        <v>24</v>
      </c>
      <c r="G166">
        <v>27</v>
      </c>
      <c r="H166" s="4">
        <v>24</v>
      </c>
      <c r="I166" s="4">
        <v>24</v>
      </c>
      <c r="J166">
        <v>50</v>
      </c>
      <c r="K166">
        <v>50</v>
      </c>
      <c r="L166">
        <v>24</v>
      </c>
      <c r="M166">
        <v>24</v>
      </c>
      <c r="N166">
        <v>24</v>
      </c>
      <c r="O166">
        <v>44</v>
      </c>
      <c r="P166">
        <v>24</v>
      </c>
      <c r="Q166">
        <v>24</v>
      </c>
      <c r="R166">
        <v>0</v>
      </c>
      <c r="S166">
        <v>24</v>
      </c>
      <c r="T166">
        <v>24</v>
      </c>
      <c r="U166">
        <v>50</v>
      </c>
      <c r="V166">
        <v>24</v>
      </c>
      <c r="W166">
        <v>50</v>
      </c>
      <c r="X166">
        <v>50</v>
      </c>
      <c r="Y166">
        <v>44</v>
      </c>
      <c r="Z166">
        <v>24</v>
      </c>
      <c r="AA166">
        <v>44</v>
      </c>
      <c r="AB166">
        <v>24</v>
      </c>
      <c r="AC166">
        <v>44</v>
      </c>
      <c r="AD166">
        <v>0</v>
      </c>
      <c r="AH166">
        <f>SUM(B166:AE166)</f>
        <v>913</v>
      </c>
      <c r="AI166" s="2" t="s">
        <v>5</v>
      </c>
    </row>
    <row r="167" spans="1:37" x14ac:dyDescent="0.3">
      <c r="A167" s="2" t="s">
        <v>0</v>
      </c>
      <c r="H167" s="5">
        <v>200</v>
      </c>
      <c r="M167">
        <v>200</v>
      </c>
      <c r="N167">
        <v>200</v>
      </c>
      <c r="Q167" s="5">
        <v>200</v>
      </c>
      <c r="AA167">
        <v>1000</v>
      </c>
      <c r="AH167">
        <f>SUM(B167:AE167)</f>
        <v>1800</v>
      </c>
      <c r="AI167" s="2" t="s">
        <v>0</v>
      </c>
    </row>
    <row r="168" spans="1:37" x14ac:dyDescent="0.3">
      <c r="A168" s="2" t="s">
        <v>16</v>
      </c>
      <c r="F168">
        <v>50</v>
      </c>
      <c r="G168">
        <v>24</v>
      </c>
      <c r="I168">
        <v>20</v>
      </c>
      <c r="L168">
        <v>140</v>
      </c>
      <c r="M168" s="4">
        <v>81.48</v>
      </c>
      <c r="N168">
        <v>15</v>
      </c>
      <c r="O168">
        <v>108</v>
      </c>
      <c r="W168">
        <v>500</v>
      </c>
      <c r="X168">
        <v>76</v>
      </c>
      <c r="Z168">
        <v>20</v>
      </c>
      <c r="AH168">
        <f t="shared" ref="AH168:AH180" si="8">SUM(B168:AE168)</f>
        <v>1034.48</v>
      </c>
      <c r="AI168" s="2" t="s">
        <v>16</v>
      </c>
    </row>
    <row r="169" spans="1:37" x14ac:dyDescent="0.3">
      <c r="A169" s="2" t="s">
        <v>34</v>
      </c>
      <c r="M169">
        <v>202.5</v>
      </c>
      <c r="O169">
        <v>594</v>
      </c>
      <c r="AH169">
        <f t="shared" si="8"/>
        <v>796.5</v>
      </c>
      <c r="AI169" s="2" t="s">
        <v>34</v>
      </c>
    </row>
    <row r="170" spans="1:37" x14ac:dyDescent="0.3">
      <c r="A170" s="2" t="s">
        <v>18</v>
      </c>
      <c r="G170">
        <v>530.38</v>
      </c>
      <c r="I170">
        <v>10</v>
      </c>
      <c r="K170">
        <v>120</v>
      </c>
      <c r="L170">
        <v>95</v>
      </c>
      <c r="M170" s="4">
        <v>547.70000000000005</v>
      </c>
      <c r="O170">
        <v>1332</v>
      </c>
      <c r="Q170" s="4">
        <v>821</v>
      </c>
      <c r="X170">
        <v>230</v>
      </c>
      <c r="Z170">
        <v>65</v>
      </c>
      <c r="AD170" s="4">
        <v>416</v>
      </c>
      <c r="AE170">
        <v>393.82</v>
      </c>
      <c r="AH170">
        <f t="shared" si="8"/>
        <v>4560.8999999999996</v>
      </c>
      <c r="AI170" s="2" t="s">
        <v>18</v>
      </c>
    </row>
    <row r="171" spans="1:37" x14ac:dyDescent="0.3">
      <c r="A171" s="2" t="s">
        <v>2</v>
      </c>
      <c r="D171">
        <v>20</v>
      </c>
      <c r="F171">
        <v>25</v>
      </c>
      <c r="G171">
        <v>133</v>
      </c>
      <c r="K171">
        <v>35</v>
      </c>
      <c r="L171">
        <v>95</v>
      </c>
      <c r="N171">
        <v>67</v>
      </c>
      <c r="U171">
        <v>50</v>
      </c>
      <c r="Y171">
        <v>63</v>
      </c>
      <c r="AA171">
        <v>65</v>
      </c>
      <c r="AC171" s="4">
        <v>159.44999999999999</v>
      </c>
      <c r="AD171">
        <v>110</v>
      </c>
      <c r="AH171">
        <f t="shared" si="8"/>
        <v>822.45</v>
      </c>
      <c r="AI171" s="2" t="s">
        <v>2</v>
      </c>
    </row>
    <row r="172" spans="1:37" x14ac:dyDescent="0.3">
      <c r="A172" s="2" t="s">
        <v>19</v>
      </c>
      <c r="C172">
        <v>14</v>
      </c>
      <c r="F172">
        <v>30</v>
      </c>
      <c r="G172">
        <v>55</v>
      </c>
      <c r="H172">
        <v>29</v>
      </c>
      <c r="I172">
        <v>90</v>
      </c>
      <c r="M172" s="4">
        <v>75</v>
      </c>
      <c r="P172">
        <v>120</v>
      </c>
      <c r="AA172">
        <v>55</v>
      </c>
      <c r="AC172" s="4">
        <v>47</v>
      </c>
      <c r="AD172">
        <v>28</v>
      </c>
      <c r="AH172">
        <f t="shared" si="8"/>
        <v>543</v>
      </c>
      <c r="AI172" s="2" t="s">
        <v>19</v>
      </c>
    </row>
    <row r="173" spans="1:37" x14ac:dyDescent="0.3">
      <c r="A173" s="2" t="s">
        <v>7</v>
      </c>
      <c r="F173">
        <v>100</v>
      </c>
      <c r="L173">
        <v>50</v>
      </c>
      <c r="N173">
        <v>30</v>
      </c>
      <c r="V173">
        <v>30</v>
      </c>
      <c r="W173">
        <v>40</v>
      </c>
      <c r="AH173">
        <f t="shared" si="8"/>
        <v>250</v>
      </c>
      <c r="AI173" s="2" t="s">
        <v>7</v>
      </c>
    </row>
    <row r="174" spans="1:37" x14ac:dyDescent="0.3">
      <c r="A174" s="2" t="s">
        <v>15</v>
      </c>
      <c r="K174">
        <v>427</v>
      </c>
      <c r="L174">
        <v>220</v>
      </c>
      <c r="M174">
        <v>387</v>
      </c>
      <c r="N174">
        <v>264</v>
      </c>
      <c r="AH174">
        <f t="shared" si="8"/>
        <v>1298</v>
      </c>
      <c r="AI174" s="2" t="s">
        <v>15</v>
      </c>
    </row>
    <row r="175" spans="1:37" x14ac:dyDescent="0.3">
      <c r="A175" s="2" t="s">
        <v>13</v>
      </c>
      <c r="P175">
        <v>200</v>
      </c>
      <c r="AH175">
        <f t="shared" si="8"/>
        <v>200</v>
      </c>
      <c r="AI175" s="2" t="s">
        <v>13</v>
      </c>
    </row>
    <row r="176" spans="1:37" x14ac:dyDescent="0.3">
      <c r="A176" s="2" t="s">
        <v>17</v>
      </c>
      <c r="P176">
        <v>1179</v>
      </c>
      <c r="AH176">
        <f t="shared" si="8"/>
        <v>1179</v>
      </c>
      <c r="AI176" s="2" t="s">
        <v>17</v>
      </c>
    </row>
    <row r="177" spans="1:37" x14ac:dyDescent="0.3">
      <c r="A177" s="2" t="s">
        <v>20</v>
      </c>
      <c r="B177">
        <v>170</v>
      </c>
      <c r="E177">
        <v>200</v>
      </c>
      <c r="K177" s="13">
        <v>568</v>
      </c>
      <c r="Q177">
        <v>75</v>
      </c>
      <c r="R177">
        <v>30</v>
      </c>
      <c r="S177" s="4">
        <v>24</v>
      </c>
      <c r="U177">
        <v>150</v>
      </c>
      <c r="W177">
        <v>294</v>
      </c>
      <c r="AH177">
        <f t="shared" si="8"/>
        <v>1511</v>
      </c>
      <c r="AI177" s="2" t="s">
        <v>20</v>
      </c>
    </row>
    <row r="178" spans="1:37" x14ac:dyDescent="0.3">
      <c r="A178" s="2" t="s">
        <v>12</v>
      </c>
      <c r="B178">
        <v>3500</v>
      </c>
      <c r="D178">
        <v>28</v>
      </c>
      <c r="I178">
        <v>60</v>
      </c>
      <c r="L178">
        <v>31</v>
      </c>
      <c r="N178">
        <v>25</v>
      </c>
      <c r="P178">
        <v>50</v>
      </c>
      <c r="Q178" s="13">
        <v>615</v>
      </c>
      <c r="U178">
        <v>30</v>
      </c>
      <c r="X178">
        <v>65</v>
      </c>
      <c r="AA178">
        <v>20</v>
      </c>
      <c r="AC178">
        <v>1740</v>
      </c>
      <c r="AH178">
        <f t="shared" si="8"/>
        <v>6164</v>
      </c>
      <c r="AI178" s="2" t="s">
        <v>12</v>
      </c>
    </row>
    <row r="179" spans="1:37" x14ac:dyDescent="0.3">
      <c r="A179" s="2" t="s">
        <v>89</v>
      </c>
      <c r="B179">
        <v>70</v>
      </c>
      <c r="AA179">
        <v>30</v>
      </c>
      <c r="AH179">
        <f t="shared" si="8"/>
        <v>100</v>
      </c>
      <c r="AI179" s="2" t="s">
        <v>89</v>
      </c>
    </row>
    <row r="180" spans="1:37" x14ac:dyDescent="0.3">
      <c r="A180" s="2" t="s">
        <v>4</v>
      </c>
      <c r="B180">
        <v>15</v>
      </c>
      <c r="I180">
        <v>60</v>
      </c>
      <c r="U180">
        <v>40</v>
      </c>
      <c r="Z180">
        <v>30</v>
      </c>
      <c r="AC180">
        <v>55</v>
      </c>
      <c r="AH180">
        <f t="shared" si="8"/>
        <v>200</v>
      </c>
      <c r="AI180" s="2" t="s">
        <v>4</v>
      </c>
    </row>
    <row r="181" spans="1:37" x14ac:dyDescent="0.3">
      <c r="Q181" s="6">
        <f>SUM(B166:AE180)</f>
        <v>21372.33</v>
      </c>
      <c r="AK181">
        <f>SUM(AK164,Q181)</f>
        <v>406785.15</v>
      </c>
    </row>
    <row r="182" spans="1:37" x14ac:dyDescent="0.3">
      <c r="B182" s="1">
        <v>45566</v>
      </c>
      <c r="C182" s="1">
        <v>45567</v>
      </c>
      <c r="D182" s="1">
        <v>45568</v>
      </c>
      <c r="E182" s="1">
        <v>45569</v>
      </c>
      <c r="F182" s="1">
        <v>45570</v>
      </c>
      <c r="G182" s="1">
        <v>45571</v>
      </c>
      <c r="H182" s="1">
        <v>45572</v>
      </c>
      <c r="I182" s="1">
        <v>45573</v>
      </c>
      <c r="J182" s="1">
        <v>45574</v>
      </c>
      <c r="K182" s="1">
        <v>45575</v>
      </c>
      <c r="L182" s="1">
        <v>45576</v>
      </c>
      <c r="M182" s="1">
        <v>45577</v>
      </c>
      <c r="N182" s="1">
        <v>45578</v>
      </c>
      <c r="O182" s="1">
        <v>45579</v>
      </c>
      <c r="P182" s="1">
        <v>45580</v>
      </c>
      <c r="Q182" s="1">
        <v>45581</v>
      </c>
      <c r="R182" s="1">
        <v>45582</v>
      </c>
      <c r="S182" s="1">
        <v>45583</v>
      </c>
      <c r="T182" s="1">
        <v>45584</v>
      </c>
      <c r="U182" s="1">
        <v>45585</v>
      </c>
      <c r="V182" s="1">
        <v>45586</v>
      </c>
      <c r="W182" s="1">
        <v>45587</v>
      </c>
      <c r="X182" s="1">
        <v>45588</v>
      </c>
      <c r="Y182" s="1">
        <v>45589</v>
      </c>
      <c r="Z182" s="1">
        <v>45590</v>
      </c>
      <c r="AA182" s="1">
        <v>45591</v>
      </c>
      <c r="AB182" s="1">
        <v>45592</v>
      </c>
      <c r="AC182" s="1">
        <v>45593</v>
      </c>
      <c r="AD182" s="1">
        <v>45594</v>
      </c>
      <c r="AE182" s="1">
        <v>45595</v>
      </c>
      <c r="AF182" s="1">
        <v>45596</v>
      </c>
    </row>
    <row r="183" spans="1:37" x14ac:dyDescent="0.3">
      <c r="A183" s="2" t="s">
        <v>5</v>
      </c>
      <c r="B183">
        <v>50</v>
      </c>
      <c r="C183">
        <v>25</v>
      </c>
      <c r="D183">
        <v>50</v>
      </c>
      <c r="E183">
        <v>24</v>
      </c>
      <c r="F183">
        <v>50</v>
      </c>
      <c r="G183">
        <v>50</v>
      </c>
      <c r="H183">
        <v>44</v>
      </c>
      <c r="I183">
        <v>50</v>
      </c>
      <c r="J183">
        <v>0</v>
      </c>
      <c r="K183" s="4">
        <v>24</v>
      </c>
      <c r="L183">
        <v>50</v>
      </c>
      <c r="M183" s="4">
        <v>24</v>
      </c>
      <c r="N183">
        <v>24</v>
      </c>
      <c r="O183">
        <v>24</v>
      </c>
      <c r="P183">
        <v>24</v>
      </c>
      <c r="Q183">
        <v>44</v>
      </c>
      <c r="R183">
        <v>24</v>
      </c>
      <c r="S183">
        <v>44</v>
      </c>
      <c r="T183">
        <v>24</v>
      </c>
      <c r="U183">
        <v>50</v>
      </c>
      <c r="V183">
        <v>24</v>
      </c>
      <c r="W183">
        <v>44</v>
      </c>
      <c r="X183">
        <v>50</v>
      </c>
      <c r="Y183">
        <v>24</v>
      </c>
      <c r="Z183">
        <v>24</v>
      </c>
      <c r="AA183">
        <v>24</v>
      </c>
      <c r="AB183">
        <v>53</v>
      </c>
      <c r="AC183">
        <v>27</v>
      </c>
      <c r="AD183">
        <v>27</v>
      </c>
      <c r="AE183">
        <v>50</v>
      </c>
      <c r="AF183">
        <v>24</v>
      </c>
      <c r="AH183">
        <f>SUM(B183:AF183)</f>
        <v>1070</v>
      </c>
      <c r="AI183" s="2" t="s">
        <v>5</v>
      </c>
    </row>
    <row r="184" spans="1:37" x14ac:dyDescent="0.3">
      <c r="A184" s="2" t="s">
        <v>0</v>
      </c>
      <c r="E184">
        <v>200</v>
      </c>
      <c r="J184">
        <v>200</v>
      </c>
      <c r="T184" s="5">
        <v>200</v>
      </c>
      <c r="X184">
        <v>200</v>
      </c>
      <c r="AE184" s="5">
        <v>205</v>
      </c>
      <c r="AH184">
        <f>SUM(B184:AF184)</f>
        <v>1005</v>
      </c>
      <c r="AI184" s="2" t="s">
        <v>0</v>
      </c>
    </row>
    <row r="185" spans="1:37" x14ac:dyDescent="0.3">
      <c r="A185" s="2" t="s">
        <v>16</v>
      </c>
      <c r="B185">
        <v>165.36</v>
      </c>
      <c r="F185">
        <v>67</v>
      </c>
      <c r="G185">
        <v>435</v>
      </c>
      <c r="K185">
        <v>100</v>
      </c>
      <c r="M185">
        <v>26</v>
      </c>
      <c r="Q185">
        <v>52</v>
      </c>
      <c r="R185">
        <v>70</v>
      </c>
      <c r="U185">
        <v>70</v>
      </c>
      <c r="V185">
        <v>20</v>
      </c>
      <c r="X185">
        <v>50</v>
      </c>
      <c r="Z185">
        <v>52</v>
      </c>
      <c r="AB185">
        <v>240</v>
      </c>
      <c r="AD185">
        <v>200</v>
      </c>
      <c r="AH185">
        <f t="shared" ref="AH185:AH200" si="9">SUM(B185:AF185)</f>
        <v>1547.3600000000001</v>
      </c>
      <c r="AI185" s="2" t="s">
        <v>16</v>
      </c>
    </row>
    <row r="186" spans="1:37" x14ac:dyDescent="0.3">
      <c r="A186" s="2" t="s">
        <v>34</v>
      </c>
      <c r="AC186">
        <v>99</v>
      </c>
      <c r="AD186">
        <v>210</v>
      </c>
      <c r="AH186">
        <f t="shared" si="9"/>
        <v>309</v>
      </c>
      <c r="AI186" s="2" t="s">
        <v>34</v>
      </c>
    </row>
    <row r="187" spans="1:37" x14ac:dyDescent="0.3">
      <c r="A187" s="2" t="s">
        <v>18</v>
      </c>
      <c r="J187">
        <v>1700</v>
      </c>
      <c r="K187" s="4">
        <v>454.51</v>
      </c>
      <c r="L187">
        <v>110</v>
      </c>
      <c r="O187">
        <v>60</v>
      </c>
      <c r="Q187">
        <v>100</v>
      </c>
      <c r="R187">
        <v>200</v>
      </c>
      <c r="Y187">
        <v>560</v>
      </c>
      <c r="AC187" s="4">
        <v>303.68</v>
      </c>
      <c r="AD187">
        <v>1250</v>
      </c>
      <c r="AE187" s="4">
        <v>105</v>
      </c>
      <c r="AF187">
        <v>80</v>
      </c>
      <c r="AH187">
        <f t="shared" si="9"/>
        <v>4923.1900000000005</v>
      </c>
      <c r="AI187" s="2" t="s">
        <v>18</v>
      </c>
    </row>
    <row r="188" spans="1:37" x14ac:dyDescent="0.3">
      <c r="A188" s="2" t="s">
        <v>2</v>
      </c>
      <c r="B188">
        <v>60</v>
      </c>
      <c r="F188">
        <v>15</v>
      </c>
      <c r="G188">
        <v>100</v>
      </c>
      <c r="K188" s="4">
        <v>146.81</v>
      </c>
      <c r="O188">
        <v>55</v>
      </c>
      <c r="Q188">
        <v>52</v>
      </c>
      <c r="T188">
        <v>34</v>
      </c>
      <c r="V188">
        <v>46</v>
      </c>
      <c r="X188">
        <v>50</v>
      </c>
      <c r="Y188">
        <v>50</v>
      </c>
      <c r="AA188">
        <v>38</v>
      </c>
      <c r="AB188">
        <v>150</v>
      </c>
      <c r="AH188">
        <f t="shared" si="9"/>
        <v>796.81</v>
      </c>
      <c r="AI188" s="2" t="s">
        <v>2</v>
      </c>
    </row>
    <row r="189" spans="1:37" x14ac:dyDescent="0.3">
      <c r="A189" s="2" t="s">
        <v>19</v>
      </c>
      <c r="B189">
        <v>285</v>
      </c>
      <c r="H189">
        <v>180</v>
      </c>
      <c r="I189">
        <v>35</v>
      </c>
      <c r="J189">
        <v>30</v>
      </c>
      <c r="K189" s="4">
        <v>6</v>
      </c>
      <c r="M189">
        <v>60</v>
      </c>
      <c r="N189">
        <v>80</v>
      </c>
      <c r="U189">
        <v>100</v>
      </c>
      <c r="V189">
        <v>60</v>
      </c>
      <c r="Y189">
        <v>110</v>
      </c>
      <c r="AB189">
        <v>301</v>
      </c>
      <c r="AH189">
        <f t="shared" si="9"/>
        <v>1247</v>
      </c>
      <c r="AI189" s="2" t="s">
        <v>19</v>
      </c>
    </row>
    <row r="190" spans="1:37" x14ac:dyDescent="0.3">
      <c r="A190" s="2" t="s">
        <v>7</v>
      </c>
      <c r="G190">
        <v>60</v>
      </c>
      <c r="Q190">
        <v>30</v>
      </c>
      <c r="U190">
        <v>30</v>
      </c>
      <c r="Z190">
        <v>30</v>
      </c>
      <c r="AF190">
        <v>30</v>
      </c>
      <c r="AH190">
        <f t="shared" si="9"/>
        <v>180</v>
      </c>
      <c r="AI190" s="2" t="s">
        <v>7</v>
      </c>
    </row>
    <row r="191" spans="1:37" x14ac:dyDescent="0.3">
      <c r="A191" s="2" t="s">
        <v>15</v>
      </c>
      <c r="K191">
        <v>269</v>
      </c>
      <c r="L191">
        <v>319</v>
      </c>
      <c r="M191">
        <v>425</v>
      </c>
      <c r="N191">
        <v>441</v>
      </c>
      <c r="AH191">
        <f t="shared" si="9"/>
        <v>1454</v>
      </c>
      <c r="AI191" s="2" t="s">
        <v>15</v>
      </c>
    </row>
    <row r="192" spans="1:37" x14ac:dyDescent="0.3">
      <c r="A192" s="2" t="s">
        <v>13</v>
      </c>
      <c r="P192" s="15">
        <v>200</v>
      </c>
      <c r="AH192">
        <f t="shared" si="9"/>
        <v>200</v>
      </c>
      <c r="AI192" s="2" t="s">
        <v>13</v>
      </c>
    </row>
    <row r="193" spans="1:37" x14ac:dyDescent="0.3">
      <c r="A193" s="2" t="s">
        <v>17</v>
      </c>
      <c r="P193">
        <v>1179</v>
      </c>
      <c r="AH193">
        <f t="shared" si="9"/>
        <v>1179</v>
      </c>
      <c r="AI193" s="2" t="s">
        <v>17</v>
      </c>
    </row>
    <row r="194" spans="1:37" x14ac:dyDescent="0.3">
      <c r="A194" s="2" t="s">
        <v>20</v>
      </c>
      <c r="I194">
        <v>200</v>
      </c>
      <c r="J194" s="4">
        <v>60</v>
      </c>
      <c r="P194">
        <v>3411</v>
      </c>
      <c r="AH194">
        <f t="shared" si="9"/>
        <v>3671</v>
      </c>
      <c r="AI194" s="2" t="s">
        <v>20</v>
      </c>
    </row>
    <row r="195" spans="1:37" x14ac:dyDescent="0.3">
      <c r="A195" s="2" t="s">
        <v>12</v>
      </c>
      <c r="B195">
        <v>3500</v>
      </c>
      <c r="C195">
        <v>700</v>
      </c>
      <c r="H195">
        <v>300</v>
      </c>
      <c r="S195">
        <v>50</v>
      </c>
      <c r="AH195">
        <f t="shared" si="9"/>
        <v>4550</v>
      </c>
      <c r="AI195" s="2" t="s">
        <v>12</v>
      </c>
    </row>
    <row r="196" spans="1:37" x14ac:dyDescent="0.3">
      <c r="A196" s="2" t="s">
        <v>3</v>
      </c>
      <c r="H196">
        <v>25</v>
      </c>
      <c r="AH196">
        <f t="shared" si="9"/>
        <v>25</v>
      </c>
      <c r="AI196" s="2" t="s">
        <v>3</v>
      </c>
    </row>
    <row r="197" spans="1:37" x14ac:dyDescent="0.3">
      <c r="A197" s="2" t="s">
        <v>88</v>
      </c>
      <c r="H197">
        <v>200</v>
      </c>
      <c r="L197">
        <v>39</v>
      </c>
      <c r="AH197">
        <f t="shared" si="9"/>
        <v>239</v>
      </c>
      <c r="AI197" s="2" t="s">
        <v>88</v>
      </c>
    </row>
    <row r="198" spans="1:37" x14ac:dyDescent="0.3">
      <c r="A198" s="2" t="s">
        <v>54</v>
      </c>
      <c r="E198">
        <v>820</v>
      </c>
      <c r="AH198">
        <f t="shared" si="9"/>
        <v>820</v>
      </c>
      <c r="AI198" s="2" t="s">
        <v>54</v>
      </c>
    </row>
    <row r="199" spans="1:37" x14ac:dyDescent="0.3">
      <c r="A199" s="2" t="s">
        <v>89</v>
      </c>
      <c r="AH199">
        <f t="shared" si="9"/>
        <v>0</v>
      </c>
      <c r="AI199" s="2" t="s">
        <v>89</v>
      </c>
    </row>
    <row r="200" spans="1:37" x14ac:dyDescent="0.3">
      <c r="A200" s="2" t="s">
        <v>4</v>
      </c>
      <c r="K200">
        <v>10</v>
      </c>
      <c r="AH200">
        <f t="shared" si="9"/>
        <v>10</v>
      </c>
      <c r="AI200" s="2" t="s">
        <v>4</v>
      </c>
    </row>
    <row r="201" spans="1:37" x14ac:dyDescent="0.3">
      <c r="Q201" s="6">
        <f>SUM(B183:AF200)</f>
        <v>23226.36</v>
      </c>
      <c r="AK201">
        <f>SUM(AK181,Q201)</f>
        <v>430011.51</v>
      </c>
    </row>
    <row r="202" spans="1:37" x14ac:dyDescent="0.3">
      <c r="B202" s="1">
        <v>45597</v>
      </c>
      <c r="C202" s="1">
        <v>45598</v>
      </c>
      <c r="D202" s="1">
        <v>45599</v>
      </c>
      <c r="E202" s="1">
        <v>45600</v>
      </c>
      <c r="F202" s="1">
        <v>45601</v>
      </c>
      <c r="G202" s="1">
        <v>45602</v>
      </c>
      <c r="H202" s="1">
        <v>45603</v>
      </c>
      <c r="I202" s="1">
        <v>45604</v>
      </c>
      <c r="J202" s="1">
        <v>45605</v>
      </c>
      <c r="K202" s="1">
        <v>45606</v>
      </c>
      <c r="L202" s="1">
        <v>45607</v>
      </c>
      <c r="M202" s="1">
        <v>45608</v>
      </c>
      <c r="N202" s="1">
        <v>45609</v>
      </c>
      <c r="O202" s="1">
        <v>45610</v>
      </c>
      <c r="P202" s="1">
        <v>45611</v>
      </c>
      <c r="Q202" s="1">
        <v>45612</v>
      </c>
      <c r="R202" s="1">
        <v>45613</v>
      </c>
      <c r="S202" s="1">
        <v>45614</v>
      </c>
      <c r="T202" s="1">
        <v>45615</v>
      </c>
      <c r="U202" s="1">
        <v>45616</v>
      </c>
      <c r="V202" s="1">
        <v>45617</v>
      </c>
      <c r="W202" s="1">
        <v>45618</v>
      </c>
      <c r="X202" s="1">
        <v>45619</v>
      </c>
      <c r="Y202" s="1">
        <v>45620</v>
      </c>
      <c r="Z202" s="1">
        <v>45621</v>
      </c>
      <c r="AA202" s="1">
        <v>45622</v>
      </c>
      <c r="AB202" s="1">
        <v>45623</v>
      </c>
      <c r="AC202" s="1">
        <v>45624</v>
      </c>
      <c r="AD202" s="1">
        <v>45625</v>
      </c>
      <c r="AE202" s="1">
        <v>45626</v>
      </c>
    </row>
    <row r="203" spans="1:37" x14ac:dyDescent="0.3">
      <c r="A203" s="2" t="s">
        <v>5</v>
      </c>
      <c r="B203">
        <v>50</v>
      </c>
      <c r="C203">
        <v>24</v>
      </c>
      <c r="D203">
        <v>24</v>
      </c>
      <c r="E203">
        <v>24</v>
      </c>
      <c r="F203">
        <v>24</v>
      </c>
      <c r="G203">
        <v>24</v>
      </c>
      <c r="H203">
        <v>24</v>
      </c>
      <c r="I203">
        <v>24</v>
      </c>
      <c r="J203">
        <v>44</v>
      </c>
      <c r="K203">
        <v>24</v>
      </c>
      <c r="L203">
        <v>24</v>
      </c>
      <c r="M203">
        <v>24</v>
      </c>
      <c r="N203">
        <v>24</v>
      </c>
      <c r="O203">
        <v>50</v>
      </c>
      <c r="P203">
        <v>0</v>
      </c>
      <c r="Q203">
        <v>50</v>
      </c>
      <c r="R203">
        <v>0</v>
      </c>
      <c r="S203">
        <v>50</v>
      </c>
      <c r="T203">
        <v>50</v>
      </c>
      <c r="U203">
        <v>0</v>
      </c>
      <c r="V203">
        <v>50</v>
      </c>
      <c r="W203">
        <v>0</v>
      </c>
      <c r="X203">
        <v>50</v>
      </c>
      <c r="Y203">
        <v>0</v>
      </c>
      <c r="Z203">
        <v>50</v>
      </c>
      <c r="AA203">
        <v>50</v>
      </c>
      <c r="AB203">
        <v>27</v>
      </c>
      <c r="AC203">
        <v>24</v>
      </c>
      <c r="AD203">
        <v>27</v>
      </c>
      <c r="AE203">
        <v>50</v>
      </c>
      <c r="AH203">
        <f>SUM(B203:AE203)</f>
        <v>886</v>
      </c>
      <c r="AI203" s="2" t="s">
        <v>5</v>
      </c>
    </row>
    <row r="204" spans="1:37" x14ac:dyDescent="0.3">
      <c r="A204" s="2" t="s">
        <v>0</v>
      </c>
      <c r="D204">
        <v>1010</v>
      </c>
      <c r="G204">
        <v>200</v>
      </c>
      <c r="L204" s="5">
        <v>200</v>
      </c>
      <c r="P204">
        <v>200</v>
      </c>
      <c r="Y204" s="5">
        <v>200</v>
      </c>
      <c r="AD204">
        <v>200</v>
      </c>
      <c r="AH204">
        <f>SUM(B204:AE204)</f>
        <v>2010</v>
      </c>
      <c r="AI204" s="2" t="s">
        <v>0</v>
      </c>
    </row>
    <row r="205" spans="1:37" x14ac:dyDescent="0.3">
      <c r="A205" s="2" t="s">
        <v>16</v>
      </c>
      <c r="D205">
        <v>330</v>
      </c>
      <c r="F205">
        <v>14</v>
      </c>
      <c r="G205">
        <v>30</v>
      </c>
      <c r="K205">
        <v>20</v>
      </c>
      <c r="L205">
        <v>367</v>
      </c>
      <c r="Q205">
        <v>25</v>
      </c>
      <c r="R205">
        <v>20</v>
      </c>
      <c r="T205">
        <v>400</v>
      </c>
      <c r="V205">
        <v>105</v>
      </c>
      <c r="Z205">
        <v>20</v>
      </c>
      <c r="AA205">
        <v>20</v>
      </c>
      <c r="AB205" s="4">
        <v>21</v>
      </c>
      <c r="AC205">
        <v>85</v>
      </c>
      <c r="AD205">
        <v>225</v>
      </c>
      <c r="AH205">
        <f t="shared" ref="AH205:AH221" si="10">SUM(B205:AE205)</f>
        <v>1682</v>
      </c>
      <c r="AI205" s="2" t="s">
        <v>16</v>
      </c>
    </row>
    <row r="206" spans="1:37" x14ac:dyDescent="0.3">
      <c r="A206" s="2" t="s">
        <v>34</v>
      </c>
      <c r="K206">
        <v>230</v>
      </c>
      <c r="U206">
        <v>88</v>
      </c>
      <c r="AB206">
        <v>558</v>
      </c>
      <c r="AC206">
        <v>240</v>
      </c>
      <c r="AE206">
        <v>98</v>
      </c>
      <c r="AH206">
        <f t="shared" si="10"/>
        <v>1214</v>
      </c>
      <c r="AI206" s="2" t="s">
        <v>34</v>
      </c>
    </row>
    <row r="207" spans="1:37" x14ac:dyDescent="0.3">
      <c r="A207" s="2" t="s">
        <v>18</v>
      </c>
      <c r="C207" s="4">
        <v>283.10000000000002</v>
      </c>
      <c r="H207" s="4">
        <v>260.41000000000003</v>
      </c>
      <c r="S207" s="4">
        <v>696</v>
      </c>
      <c r="U207">
        <v>44</v>
      </c>
      <c r="Z207" s="4">
        <v>210</v>
      </c>
      <c r="AB207" s="4">
        <v>24</v>
      </c>
      <c r="AC207">
        <v>1203</v>
      </c>
      <c r="AD207" s="4"/>
      <c r="AE207">
        <v>582</v>
      </c>
      <c r="AH207">
        <f t="shared" si="10"/>
        <v>3302.51</v>
      </c>
      <c r="AI207" s="2" t="s">
        <v>18</v>
      </c>
    </row>
    <row r="208" spans="1:37" x14ac:dyDescent="0.3">
      <c r="A208" s="2" t="s">
        <v>2</v>
      </c>
      <c r="C208" s="4">
        <v>49.86</v>
      </c>
      <c r="D208">
        <v>220</v>
      </c>
      <c r="L208">
        <v>44</v>
      </c>
      <c r="P208">
        <v>36</v>
      </c>
      <c r="Q208">
        <v>16</v>
      </c>
      <c r="S208">
        <v>41</v>
      </c>
      <c r="X208">
        <v>168</v>
      </c>
      <c r="AA208">
        <v>51</v>
      </c>
      <c r="AH208">
        <f t="shared" si="10"/>
        <v>625.86</v>
      </c>
      <c r="AI208" s="2" t="s">
        <v>2</v>
      </c>
    </row>
    <row r="209" spans="1:37" x14ac:dyDescent="0.3">
      <c r="A209" s="2" t="s">
        <v>19</v>
      </c>
      <c r="B209" s="4">
        <v>42</v>
      </c>
      <c r="C209">
        <v>552</v>
      </c>
      <c r="D209">
        <v>140</v>
      </c>
      <c r="H209" s="4">
        <v>47</v>
      </c>
      <c r="J209" s="4">
        <v>7.5</v>
      </c>
      <c r="K209">
        <v>181</v>
      </c>
      <c r="U209">
        <v>90</v>
      </c>
      <c r="V209">
        <v>110</v>
      </c>
      <c r="X209">
        <v>50</v>
      </c>
      <c r="Z209">
        <v>10</v>
      </c>
      <c r="AH209">
        <f t="shared" si="10"/>
        <v>1229.5</v>
      </c>
      <c r="AI209" s="2" t="s">
        <v>19</v>
      </c>
    </row>
    <row r="210" spans="1:37" x14ac:dyDescent="0.3">
      <c r="A210" s="2" t="s">
        <v>7</v>
      </c>
      <c r="D210">
        <v>40</v>
      </c>
      <c r="N210">
        <v>50</v>
      </c>
      <c r="R210">
        <v>50</v>
      </c>
      <c r="T210">
        <v>70</v>
      </c>
      <c r="X210">
        <v>10</v>
      </c>
      <c r="Y210">
        <v>50</v>
      </c>
      <c r="AA210">
        <v>50</v>
      </c>
      <c r="AH210">
        <f t="shared" si="10"/>
        <v>320</v>
      </c>
      <c r="AI210" s="2" t="s">
        <v>7</v>
      </c>
    </row>
    <row r="211" spans="1:37" x14ac:dyDescent="0.3">
      <c r="A211" s="2" t="s">
        <v>15</v>
      </c>
      <c r="K211">
        <v>261</v>
      </c>
      <c r="L211">
        <v>12</v>
      </c>
      <c r="M211">
        <v>506</v>
      </c>
      <c r="N211">
        <v>325</v>
      </c>
      <c r="O211">
        <v>430</v>
      </c>
      <c r="AH211">
        <f t="shared" si="10"/>
        <v>1534</v>
      </c>
      <c r="AI211" s="2" t="s">
        <v>15</v>
      </c>
    </row>
    <row r="212" spans="1:37" x14ac:dyDescent="0.3">
      <c r="A212" s="2" t="s">
        <v>13</v>
      </c>
      <c r="P212">
        <v>200</v>
      </c>
      <c r="AH212">
        <f t="shared" si="10"/>
        <v>200</v>
      </c>
      <c r="AI212" s="2" t="s">
        <v>13</v>
      </c>
    </row>
    <row r="213" spans="1:37" x14ac:dyDescent="0.3">
      <c r="A213" s="2" t="s">
        <v>17</v>
      </c>
      <c r="B213">
        <v>201</v>
      </c>
      <c r="P213">
        <v>1179</v>
      </c>
      <c r="AH213">
        <f t="shared" si="10"/>
        <v>1380</v>
      </c>
      <c r="AI213" s="2" t="s">
        <v>17</v>
      </c>
    </row>
    <row r="214" spans="1:37" x14ac:dyDescent="0.3">
      <c r="A214" s="2" t="s">
        <v>20</v>
      </c>
      <c r="J214">
        <v>170</v>
      </c>
      <c r="K214">
        <v>360</v>
      </c>
      <c r="R214">
        <v>20</v>
      </c>
      <c r="T214">
        <v>200</v>
      </c>
      <c r="W214">
        <v>1096</v>
      </c>
      <c r="X214">
        <v>100</v>
      </c>
      <c r="AH214">
        <f t="shared" si="10"/>
        <v>1946</v>
      </c>
      <c r="AI214" s="2" t="s">
        <v>20</v>
      </c>
    </row>
    <row r="215" spans="1:37" x14ac:dyDescent="0.3">
      <c r="A215" s="2" t="s">
        <v>12</v>
      </c>
      <c r="C215">
        <v>3500</v>
      </c>
      <c r="D215">
        <v>8000</v>
      </c>
      <c r="E215">
        <v>30</v>
      </c>
      <c r="F215">
        <v>390</v>
      </c>
      <c r="H215">
        <v>20</v>
      </c>
      <c r="K215">
        <v>700</v>
      </c>
      <c r="M215">
        <v>45</v>
      </c>
      <c r="U215">
        <v>300</v>
      </c>
      <c r="V215">
        <v>75</v>
      </c>
      <c r="X215">
        <v>1875</v>
      </c>
      <c r="Y215">
        <v>35</v>
      </c>
      <c r="Z215">
        <v>2</v>
      </c>
      <c r="AC215">
        <v>14</v>
      </c>
      <c r="AH215">
        <f t="shared" si="10"/>
        <v>14986</v>
      </c>
      <c r="AI215" s="2" t="s">
        <v>12</v>
      </c>
    </row>
    <row r="216" spans="1:37" x14ac:dyDescent="0.3">
      <c r="A216" s="2" t="s">
        <v>8</v>
      </c>
      <c r="L216">
        <v>20</v>
      </c>
      <c r="AH216">
        <f>SUM(B216:AE216)</f>
        <v>20</v>
      </c>
      <c r="AI216" s="2" t="s">
        <v>8</v>
      </c>
    </row>
    <row r="217" spans="1:37" x14ac:dyDescent="0.3">
      <c r="A217" s="2" t="s">
        <v>24</v>
      </c>
      <c r="D217">
        <v>50</v>
      </c>
      <c r="AH217">
        <f t="shared" si="10"/>
        <v>50</v>
      </c>
      <c r="AI217" s="2" t="s">
        <v>24</v>
      </c>
    </row>
    <row r="218" spans="1:37" x14ac:dyDescent="0.3">
      <c r="A218" s="2" t="s">
        <v>88</v>
      </c>
      <c r="D218">
        <v>60</v>
      </c>
      <c r="AH218">
        <f t="shared" si="10"/>
        <v>60</v>
      </c>
      <c r="AI218" s="2" t="s">
        <v>88</v>
      </c>
    </row>
    <row r="219" spans="1:37" x14ac:dyDescent="0.3">
      <c r="A219" s="2" t="s">
        <v>1</v>
      </c>
      <c r="F219">
        <v>300</v>
      </c>
      <c r="K219">
        <v>900</v>
      </c>
      <c r="AH219">
        <f t="shared" si="10"/>
        <v>1200</v>
      </c>
      <c r="AI219" s="2" t="s">
        <v>1</v>
      </c>
    </row>
    <row r="220" spans="1:37" x14ac:dyDescent="0.3">
      <c r="A220" s="2" t="s">
        <v>89</v>
      </c>
      <c r="M220">
        <v>160</v>
      </c>
      <c r="AB220" s="13">
        <v>26</v>
      </c>
      <c r="AC220" s="13">
        <v>60</v>
      </c>
      <c r="AD220" s="13">
        <v>3576</v>
      </c>
      <c r="AH220">
        <f t="shared" si="10"/>
        <v>3822</v>
      </c>
      <c r="AI220" s="2" t="s">
        <v>89</v>
      </c>
    </row>
    <row r="221" spans="1:37" x14ac:dyDescent="0.3">
      <c r="A221" s="2" t="s">
        <v>4</v>
      </c>
      <c r="G221">
        <v>30</v>
      </c>
      <c r="K221">
        <v>30</v>
      </c>
      <c r="X221">
        <v>5</v>
      </c>
      <c r="AH221">
        <f t="shared" si="10"/>
        <v>65</v>
      </c>
      <c r="AI221" s="2" t="s">
        <v>4</v>
      </c>
    </row>
    <row r="222" spans="1:37" x14ac:dyDescent="0.3">
      <c r="Q222" s="6">
        <f>SUM(B203:AE221)</f>
        <v>36532.870000000003</v>
      </c>
      <c r="AK222">
        <f>SUM(AK201,Q222)</f>
        <v>466544.38</v>
      </c>
    </row>
    <row r="223" spans="1:37" x14ac:dyDescent="0.3">
      <c r="B223" s="1">
        <v>45627</v>
      </c>
      <c r="C223" s="1">
        <v>45628</v>
      </c>
      <c r="D223" s="1">
        <v>45629</v>
      </c>
      <c r="E223" s="1">
        <v>45630</v>
      </c>
      <c r="F223" s="1">
        <v>45631</v>
      </c>
      <c r="G223" s="1">
        <v>45632</v>
      </c>
      <c r="H223" s="1">
        <v>45633</v>
      </c>
      <c r="I223" s="1">
        <v>45634</v>
      </c>
      <c r="J223" s="1">
        <v>45635</v>
      </c>
      <c r="K223" s="1">
        <v>45636</v>
      </c>
      <c r="L223" s="1">
        <v>45637</v>
      </c>
      <c r="M223" s="1">
        <v>45638</v>
      </c>
      <c r="N223" s="1">
        <v>45639</v>
      </c>
      <c r="O223" s="1">
        <v>45640</v>
      </c>
      <c r="P223" s="1">
        <v>45641</v>
      </c>
      <c r="Q223" s="1">
        <v>45642</v>
      </c>
      <c r="R223" s="1">
        <v>45643</v>
      </c>
      <c r="S223" s="1">
        <v>45644</v>
      </c>
      <c r="T223" s="1">
        <v>45645</v>
      </c>
      <c r="U223" s="1">
        <v>45646</v>
      </c>
      <c r="V223" s="1">
        <v>45647</v>
      </c>
      <c r="W223" s="1">
        <v>45648</v>
      </c>
      <c r="X223" s="1">
        <v>45649</v>
      </c>
      <c r="Y223" s="1">
        <v>45650</v>
      </c>
      <c r="Z223" s="1">
        <v>45651</v>
      </c>
      <c r="AA223" s="1">
        <v>45652</v>
      </c>
      <c r="AB223" s="1">
        <v>45653</v>
      </c>
      <c r="AC223" s="1">
        <v>45654</v>
      </c>
      <c r="AD223" s="1">
        <v>45655</v>
      </c>
      <c r="AE223" s="1">
        <v>45656</v>
      </c>
      <c r="AF223" s="1">
        <v>45657</v>
      </c>
    </row>
    <row r="224" spans="1:37" x14ac:dyDescent="0.3">
      <c r="A224" s="2" t="s">
        <v>5</v>
      </c>
      <c r="B224">
        <v>26</v>
      </c>
      <c r="C224">
        <v>50</v>
      </c>
      <c r="D224">
        <v>0</v>
      </c>
      <c r="E224">
        <v>50</v>
      </c>
      <c r="F224">
        <v>26</v>
      </c>
      <c r="G224">
        <v>50</v>
      </c>
      <c r="H224">
        <v>0</v>
      </c>
      <c r="I224">
        <v>53</v>
      </c>
      <c r="J224">
        <v>50</v>
      </c>
      <c r="K224">
        <v>0</v>
      </c>
      <c r="L224">
        <v>0</v>
      </c>
      <c r="M224">
        <v>50</v>
      </c>
      <c r="N224">
        <v>0</v>
      </c>
      <c r="O224">
        <v>50</v>
      </c>
      <c r="P224">
        <v>0</v>
      </c>
      <c r="Q224">
        <v>50</v>
      </c>
      <c r="R224">
        <v>0</v>
      </c>
      <c r="S224">
        <v>50</v>
      </c>
      <c r="T224">
        <v>0</v>
      </c>
      <c r="U224">
        <v>63</v>
      </c>
      <c r="W224">
        <v>50</v>
      </c>
      <c r="X224">
        <v>0</v>
      </c>
      <c r="Y224">
        <v>50</v>
      </c>
      <c r="Z224">
        <v>0</v>
      </c>
      <c r="AA224">
        <v>50</v>
      </c>
      <c r="AB224">
        <v>0</v>
      </c>
      <c r="AC224">
        <v>50</v>
      </c>
      <c r="AD224">
        <v>0</v>
      </c>
      <c r="AE224">
        <v>50</v>
      </c>
      <c r="AH224">
        <f>SUM(B224:AF224)</f>
        <v>818</v>
      </c>
      <c r="AI224" s="2" t="s">
        <v>5</v>
      </c>
    </row>
    <row r="225" spans="1:35" x14ac:dyDescent="0.3">
      <c r="A225" s="2" t="s">
        <v>0</v>
      </c>
      <c r="E225" s="5">
        <v>200</v>
      </c>
      <c r="I225">
        <v>1000</v>
      </c>
      <c r="K225" s="5">
        <v>200</v>
      </c>
      <c r="O225">
        <v>200</v>
      </c>
      <c r="AA225" s="5">
        <v>200</v>
      </c>
      <c r="AH225">
        <f>SUM(B225:AF225)</f>
        <v>1800</v>
      </c>
      <c r="AI225" s="2" t="s">
        <v>0</v>
      </c>
    </row>
    <row r="226" spans="1:35" x14ac:dyDescent="0.3">
      <c r="A226" s="2" t="s">
        <v>16</v>
      </c>
      <c r="C226">
        <v>129</v>
      </c>
      <c r="F226">
        <v>160</v>
      </c>
      <c r="I226">
        <v>110</v>
      </c>
      <c r="K226">
        <v>80</v>
      </c>
      <c r="L226">
        <v>50</v>
      </c>
      <c r="M226">
        <v>45</v>
      </c>
      <c r="N226">
        <v>20</v>
      </c>
      <c r="P226">
        <v>430</v>
      </c>
      <c r="S226">
        <v>30</v>
      </c>
      <c r="T226">
        <v>100</v>
      </c>
      <c r="W226">
        <v>143</v>
      </c>
      <c r="Z226">
        <v>139.34</v>
      </c>
      <c r="AA226">
        <v>50</v>
      </c>
      <c r="AB226">
        <v>81</v>
      </c>
      <c r="AE226">
        <v>80</v>
      </c>
      <c r="AH226">
        <f t="shared" ref="AH226:AH241" si="11">SUM(B226:AF226)</f>
        <v>1647.34</v>
      </c>
      <c r="AI226" s="2" t="s">
        <v>16</v>
      </c>
    </row>
    <row r="227" spans="1:35" x14ac:dyDescent="0.3">
      <c r="A227" s="2" t="s">
        <v>34</v>
      </c>
      <c r="P227">
        <v>150</v>
      </c>
      <c r="U227">
        <v>103.5</v>
      </c>
      <c r="AF227">
        <v>371</v>
      </c>
      <c r="AH227">
        <f t="shared" si="11"/>
        <v>624.5</v>
      </c>
      <c r="AI227" s="2" t="s">
        <v>34</v>
      </c>
    </row>
    <row r="228" spans="1:35" x14ac:dyDescent="0.3">
      <c r="A228" s="2" t="s">
        <v>18</v>
      </c>
      <c r="J228" s="4">
        <v>881.51</v>
      </c>
      <c r="T228">
        <v>326</v>
      </c>
      <c r="U228">
        <v>574.61</v>
      </c>
      <c r="X228">
        <v>500</v>
      </c>
      <c r="Z228">
        <v>260.48</v>
      </c>
      <c r="AF228">
        <v>252</v>
      </c>
      <c r="AH228">
        <f t="shared" si="11"/>
        <v>2794.6</v>
      </c>
      <c r="AI228" s="2" t="s">
        <v>18</v>
      </c>
    </row>
    <row r="229" spans="1:35" x14ac:dyDescent="0.3">
      <c r="A229" s="2" t="s">
        <v>2</v>
      </c>
      <c r="C229">
        <v>62</v>
      </c>
      <c r="E229">
        <v>38</v>
      </c>
      <c r="F229">
        <v>140</v>
      </c>
      <c r="H229">
        <v>30</v>
      </c>
      <c r="I229">
        <v>20</v>
      </c>
      <c r="J229">
        <v>14</v>
      </c>
      <c r="M229">
        <v>50</v>
      </c>
      <c r="N229">
        <v>38</v>
      </c>
      <c r="P229">
        <v>50</v>
      </c>
      <c r="T229">
        <v>44</v>
      </c>
      <c r="V229">
        <v>40</v>
      </c>
      <c r="AA229">
        <v>60</v>
      </c>
      <c r="AE229">
        <v>12</v>
      </c>
      <c r="AH229">
        <f t="shared" si="11"/>
        <v>598</v>
      </c>
      <c r="AI229" s="2" t="s">
        <v>2</v>
      </c>
    </row>
    <row r="230" spans="1:35" x14ac:dyDescent="0.3">
      <c r="A230" s="2" t="s">
        <v>19</v>
      </c>
      <c r="B230">
        <v>35</v>
      </c>
      <c r="E230">
        <v>40</v>
      </c>
      <c r="H230">
        <v>70</v>
      </c>
      <c r="I230">
        <v>30</v>
      </c>
      <c r="L230">
        <v>110</v>
      </c>
      <c r="P230">
        <v>160</v>
      </c>
      <c r="R230">
        <v>240</v>
      </c>
      <c r="W230">
        <v>60</v>
      </c>
      <c r="Z230">
        <v>124</v>
      </c>
      <c r="AA230">
        <v>70</v>
      </c>
      <c r="AH230">
        <f t="shared" si="11"/>
        <v>939</v>
      </c>
      <c r="AI230" s="2" t="s">
        <v>19</v>
      </c>
    </row>
    <row r="231" spans="1:35" x14ac:dyDescent="0.3">
      <c r="A231" s="2" t="s">
        <v>7</v>
      </c>
      <c r="C231">
        <v>50</v>
      </c>
      <c r="F231">
        <v>60</v>
      </c>
      <c r="M231">
        <v>50</v>
      </c>
      <c r="Q231">
        <v>50</v>
      </c>
      <c r="U231">
        <v>50</v>
      </c>
      <c r="X231">
        <v>50</v>
      </c>
      <c r="AH231">
        <f t="shared" si="11"/>
        <v>310</v>
      </c>
      <c r="AI231" s="2" t="s">
        <v>7</v>
      </c>
    </row>
    <row r="232" spans="1:35" x14ac:dyDescent="0.3">
      <c r="A232" s="2" t="s">
        <v>15</v>
      </c>
      <c r="K232">
        <v>288</v>
      </c>
      <c r="L232">
        <v>403</v>
      </c>
      <c r="M232">
        <v>332</v>
      </c>
      <c r="N232">
        <v>491</v>
      </c>
      <c r="AH232">
        <f t="shared" si="11"/>
        <v>1514</v>
      </c>
      <c r="AI232" s="2" t="s">
        <v>15</v>
      </c>
    </row>
    <row r="233" spans="1:35" x14ac:dyDescent="0.3">
      <c r="A233" s="2" t="s">
        <v>13</v>
      </c>
      <c r="P233">
        <v>200</v>
      </c>
      <c r="AH233">
        <f t="shared" si="11"/>
        <v>200</v>
      </c>
      <c r="AI233" s="2" t="s">
        <v>13</v>
      </c>
    </row>
    <row r="234" spans="1:35" x14ac:dyDescent="0.3">
      <c r="A234" s="2" t="s">
        <v>17</v>
      </c>
      <c r="P234">
        <v>1179</v>
      </c>
      <c r="AH234">
        <f t="shared" si="11"/>
        <v>1179</v>
      </c>
      <c r="AI234" s="2" t="s">
        <v>17</v>
      </c>
    </row>
    <row r="235" spans="1:35" x14ac:dyDescent="0.3">
      <c r="A235" s="2" t="s">
        <v>20</v>
      </c>
      <c r="C235">
        <v>70</v>
      </c>
      <c r="D235">
        <v>110</v>
      </c>
      <c r="E235">
        <v>595</v>
      </c>
      <c r="L235">
        <v>100</v>
      </c>
      <c r="P235">
        <v>100</v>
      </c>
      <c r="Y235">
        <v>50</v>
      </c>
      <c r="AF235">
        <v>9735</v>
      </c>
      <c r="AH235">
        <f t="shared" si="11"/>
        <v>10760</v>
      </c>
      <c r="AI235" s="2" t="s">
        <v>20</v>
      </c>
    </row>
    <row r="236" spans="1:35" x14ac:dyDescent="0.3">
      <c r="A236" s="2" t="s">
        <v>12</v>
      </c>
      <c r="E236">
        <v>3500</v>
      </c>
      <c r="F236">
        <v>203</v>
      </c>
      <c r="G236">
        <v>100</v>
      </c>
      <c r="N236">
        <v>6</v>
      </c>
      <c r="O236">
        <v>414</v>
      </c>
      <c r="P236">
        <v>799</v>
      </c>
      <c r="W236">
        <v>12</v>
      </c>
      <c r="AD236">
        <v>18</v>
      </c>
      <c r="AE236">
        <v>5</v>
      </c>
      <c r="AF236">
        <v>758</v>
      </c>
      <c r="AH236">
        <f t="shared" si="11"/>
        <v>5815</v>
      </c>
      <c r="AI236" s="2" t="s">
        <v>12</v>
      </c>
    </row>
    <row r="237" spans="1:35" x14ac:dyDescent="0.3">
      <c r="A237" s="2" t="s">
        <v>8</v>
      </c>
      <c r="P237">
        <v>20</v>
      </c>
      <c r="AH237">
        <f t="shared" si="11"/>
        <v>20</v>
      </c>
      <c r="AI237" s="2" t="s">
        <v>8</v>
      </c>
    </row>
    <row r="238" spans="1:35" x14ac:dyDescent="0.3">
      <c r="A238" s="2" t="s">
        <v>24</v>
      </c>
      <c r="I238">
        <v>110</v>
      </c>
      <c r="AH238">
        <f t="shared" si="11"/>
        <v>110</v>
      </c>
      <c r="AI238" s="2" t="s">
        <v>24</v>
      </c>
    </row>
    <row r="239" spans="1:35" x14ac:dyDescent="0.3">
      <c r="A239" s="2" t="s">
        <v>88</v>
      </c>
      <c r="I239">
        <v>80</v>
      </c>
      <c r="AH239">
        <f t="shared" si="11"/>
        <v>80</v>
      </c>
      <c r="AI239" s="2" t="s">
        <v>88</v>
      </c>
    </row>
    <row r="240" spans="1:35" x14ac:dyDescent="0.3">
      <c r="A240" s="2" t="s">
        <v>11</v>
      </c>
      <c r="Q240">
        <v>820</v>
      </c>
      <c r="AH240">
        <f t="shared" si="11"/>
        <v>820</v>
      </c>
      <c r="AI240" s="2" t="s">
        <v>11</v>
      </c>
    </row>
    <row r="241" spans="1:37" x14ac:dyDescent="0.3">
      <c r="A241" s="2" t="s">
        <v>89</v>
      </c>
      <c r="C241" s="13">
        <v>26</v>
      </c>
      <c r="D241" s="13">
        <v>620</v>
      </c>
      <c r="E241" s="13">
        <v>700</v>
      </c>
      <c r="F241" s="13">
        <v>220</v>
      </c>
      <c r="G241" s="13">
        <v>176</v>
      </c>
      <c r="H241" s="13"/>
      <c r="I241" s="13">
        <v>497</v>
      </c>
      <c r="J241" s="13">
        <v>38</v>
      </c>
      <c r="K241" s="13"/>
      <c r="L241" s="13">
        <v>38</v>
      </c>
      <c r="M241" s="13"/>
      <c r="N241" s="13">
        <v>216</v>
      </c>
      <c r="O241" s="13"/>
      <c r="P241" s="13"/>
      <c r="Q241" s="13"/>
      <c r="R241" s="13"/>
      <c r="S241" s="13"/>
      <c r="T241" s="13">
        <v>6000</v>
      </c>
      <c r="X241" s="13">
        <v>475</v>
      </c>
      <c r="Y241" s="13">
        <v>26</v>
      </c>
      <c r="AC241">
        <v>26</v>
      </c>
      <c r="AF241">
        <v>14</v>
      </c>
      <c r="AH241">
        <f t="shared" si="11"/>
        <v>9072</v>
      </c>
      <c r="AI241" s="2" t="s">
        <v>89</v>
      </c>
    </row>
    <row r="242" spans="1:37" x14ac:dyDescent="0.3">
      <c r="A242" s="2" t="s">
        <v>4</v>
      </c>
      <c r="I242">
        <v>50</v>
      </c>
      <c r="W242">
        <v>50</v>
      </c>
      <c r="AA242">
        <v>200</v>
      </c>
      <c r="AH242">
        <f>SUM(B242:AF242)</f>
        <v>300</v>
      </c>
      <c r="AI242" s="2" t="s">
        <v>4</v>
      </c>
    </row>
    <row r="243" spans="1:37" x14ac:dyDescent="0.3">
      <c r="Q243" s="6">
        <f>SUM(B224:AF242)</f>
        <v>39401.440000000002</v>
      </c>
      <c r="R243">
        <v>-9072</v>
      </c>
      <c r="AK243">
        <f>SUM(AK222,Q243)</f>
        <v>505945.82</v>
      </c>
    </row>
    <row r="244" spans="1:37" x14ac:dyDescent="0.3">
      <c r="AK244">
        <v>24000</v>
      </c>
    </row>
    <row r="245" spans="1:37" x14ac:dyDescent="0.3">
      <c r="AK245">
        <f>SUM(AK243:AK244)</f>
        <v>529945.82000000007</v>
      </c>
    </row>
    <row r="246" spans="1:37" x14ac:dyDescent="0.3">
      <c r="AK246">
        <v>-12880</v>
      </c>
    </row>
  </sheetData>
  <autoFilter ref="A1:AF243" xr:uid="{574112B9-97E2-4B45-9CF9-6F0C977CEAA5}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B105-7B1D-4CC9-AC70-0A198640A3CC}">
  <sheetPr filterMode="1"/>
  <dimension ref="A1:AQ264"/>
  <sheetViews>
    <sheetView topLeftCell="P1" zoomScale="85" zoomScaleNormal="85" workbookViewId="0">
      <selection activeCell="AH16" sqref="AH16:AH264"/>
    </sheetView>
  </sheetViews>
  <sheetFormatPr defaultRowHeight="14.4" x14ac:dyDescent="0.3"/>
  <cols>
    <col min="1" max="1" width="10.21875" bestFit="1" customWidth="1"/>
    <col min="2" max="3" width="9.6640625" bestFit="1" customWidth="1"/>
    <col min="4" max="10" width="9.44140625" bestFit="1" customWidth="1"/>
    <col min="11" max="32" width="10.5546875" bestFit="1" customWidth="1"/>
    <col min="36" max="36" width="20.5546875" customWidth="1"/>
    <col min="37" max="37" width="9.44140625" bestFit="1" customWidth="1"/>
    <col min="38" max="38" width="12.44140625" bestFit="1" customWidth="1"/>
    <col min="39" max="39" width="9.44140625" bestFit="1" customWidth="1"/>
  </cols>
  <sheetData>
    <row r="1" spans="1:35" x14ac:dyDescent="0.3">
      <c r="B1" s="1">
        <v>45658</v>
      </c>
      <c r="C1" s="1">
        <v>45659</v>
      </c>
      <c r="D1" s="1">
        <v>45660</v>
      </c>
      <c r="E1" s="1">
        <v>45661</v>
      </c>
      <c r="F1" s="1">
        <v>45662</v>
      </c>
      <c r="G1" s="1">
        <v>45663</v>
      </c>
      <c r="H1" s="1">
        <v>45664</v>
      </c>
      <c r="I1" s="1">
        <v>45665</v>
      </c>
      <c r="J1" s="1">
        <v>45666</v>
      </c>
      <c r="K1" s="1">
        <v>45667</v>
      </c>
      <c r="L1" s="1">
        <v>45668</v>
      </c>
      <c r="M1" s="1">
        <v>45669</v>
      </c>
      <c r="N1" s="1">
        <v>45670</v>
      </c>
      <c r="O1" s="1">
        <v>45671</v>
      </c>
      <c r="P1" s="1">
        <v>45672</v>
      </c>
      <c r="Q1" s="1">
        <v>45673</v>
      </c>
      <c r="R1" s="1">
        <v>45674</v>
      </c>
      <c r="S1" s="1">
        <v>45675</v>
      </c>
      <c r="T1" s="1">
        <v>45676</v>
      </c>
      <c r="U1" s="1">
        <v>45677</v>
      </c>
      <c r="V1" s="1">
        <v>45678</v>
      </c>
      <c r="W1" s="1">
        <v>45679</v>
      </c>
      <c r="X1" s="1">
        <v>45680</v>
      </c>
      <c r="Y1" s="1">
        <v>45681</v>
      </c>
      <c r="Z1" s="1">
        <v>45682</v>
      </c>
      <c r="AA1" s="1">
        <v>45683</v>
      </c>
      <c r="AB1" s="1">
        <v>45684</v>
      </c>
      <c r="AC1" s="1">
        <v>45685</v>
      </c>
      <c r="AD1" s="1">
        <v>45686</v>
      </c>
      <c r="AE1" s="1">
        <v>45687</v>
      </c>
      <c r="AF1" s="1">
        <v>45688</v>
      </c>
    </row>
    <row r="2" spans="1:35" hidden="1" x14ac:dyDescent="0.3">
      <c r="A2" s="2" t="s">
        <v>5</v>
      </c>
      <c r="B2">
        <v>27</v>
      </c>
      <c r="C2">
        <v>50</v>
      </c>
      <c r="E2">
        <v>50</v>
      </c>
      <c r="F2">
        <v>27</v>
      </c>
      <c r="G2">
        <v>26</v>
      </c>
      <c r="H2">
        <v>50</v>
      </c>
      <c r="J2">
        <v>27</v>
      </c>
      <c r="K2">
        <v>50</v>
      </c>
      <c r="L2">
        <v>0</v>
      </c>
      <c r="M2">
        <v>50</v>
      </c>
      <c r="N2">
        <v>0</v>
      </c>
      <c r="O2">
        <v>27</v>
      </c>
      <c r="P2">
        <v>50</v>
      </c>
      <c r="Q2">
        <v>12</v>
      </c>
      <c r="R2">
        <v>24</v>
      </c>
      <c r="S2">
        <v>50</v>
      </c>
      <c r="T2">
        <v>0</v>
      </c>
      <c r="U2">
        <v>0</v>
      </c>
      <c r="V2">
        <v>63</v>
      </c>
      <c r="W2">
        <v>26</v>
      </c>
      <c r="X2">
        <v>50</v>
      </c>
      <c r="Z2">
        <v>50</v>
      </c>
      <c r="AA2">
        <v>0</v>
      </c>
      <c r="AB2">
        <v>64</v>
      </c>
      <c r="AC2">
        <v>0</v>
      </c>
      <c r="AD2">
        <v>50</v>
      </c>
      <c r="AE2">
        <v>0</v>
      </c>
      <c r="AF2">
        <v>62</v>
      </c>
      <c r="AH2">
        <f>SUM(B2:AF2)</f>
        <v>885</v>
      </c>
      <c r="AI2" s="2" t="s">
        <v>5</v>
      </c>
    </row>
    <row r="3" spans="1:35" hidden="1" x14ac:dyDescent="0.3">
      <c r="A3" t="s">
        <v>14</v>
      </c>
      <c r="AH3">
        <f>SUM(B3:AF3)</f>
        <v>0</v>
      </c>
      <c r="AI3" t="s">
        <v>14</v>
      </c>
    </row>
    <row r="4" spans="1:35" hidden="1" x14ac:dyDescent="0.3">
      <c r="A4" s="2" t="s">
        <v>0</v>
      </c>
      <c r="F4">
        <v>1000</v>
      </c>
      <c r="G4">
        <v>200</v>
      </c>
      <c r="I4" s="5">
        <v>200</v>
      </c>
      <c r="U4" s="5">
        <v>100</v>
      </c>
      <c r="AA4" s="5">
        <v>100</v>
      </c>
      <c r="AD4">
        <v>200</v>
      </c>
      <c r="AH4">
        <f t="shared" ref="AH4:AH19" si="0">SUM(B4:AF4)</f>
        <v>1800</v>
      </c>
      <c r="AI4" s="2" t="s">
        <v>0</v>
      </c>
    </row>
    <row r="5" spans="1:35" hidden="1" x14ac:dyDescent="0.3">
      <c r="A5" s="2" t="s">
        <v>16</v>
      </c>
      <c r="D5">
        <v>18</v>
      </c>
      <c r="E5">
        <v>50</v>
      </c>
      <c r="F5">
        <v>335</v>
      </c>
      <c r="H5">
        <v>110</v>
      </c>
      <c r="I5">
        <v>15</v>
      </c>
      <c r="J5">
        <v>10</v>
      </c>
      <c r="M5">
        <v>310</v>
      </c>
      <c r="S5">
        <v>30</v>
      </c>
      <c r="U5">
        <v>50</v>
      </c>
      <c r="V5">
        <v>89.63</v>
      </c>
      <c r="Y5">
        <v>66</v>
      </c>
      <c r="Z5">
        <v>110</v>
      </c>
      <c r="AC5">
        <v>118</v>
      </c>
      <c r="AF5">
        <v>25</v>
      </c>
      <c r="AH5">
        <f t="shared" si="0"/>
        <v>1336.63</v>
      </c>
      <c r="AI5" s="2" t="s">
        <v>16</v>
      </c>
    </row>
    <row r="6" spans="1:35" hidden="1" x14ac:dyDescent="0.3">
      <c r="A6" s="2" t="s">
        <v>34</v>
      </c>
      <c r="X6">
        <v>99</v>
      </c>
      <c r="AH6">
        <f t="shared" si="0"/>
        <v>99</v>
      </c>
      <c r="AI6" s="2" t="s">
        <v>34</v>
      </c>
    </row>
    <row r="7" spans="1:35" hidden="1" x14ac:dyDescent="0.3">
      <c r="A7" s="2" t="s">
        <v>18</v>
      </c>
      <c r="G7">
        <v>55</v>
      </c>
      <c r="H7">
        <v>30</v>
      </c>
      <c r="I7" s="4">
        <v>1803</v>
      </c>
      <c r="L7">
        <v>2195</v>
      </c>
      <c r="R7">
        <v>60</v>
      </c>
      <c r="U7">
        <v>250</v>
      </c>
      <c r="V7" s="4">
        <v>287.37</v>
      </c>
      <c r="X7">
        <v>798</v>
      </c>
      <c r="AF7">
        <v>995.74</v>
      </c>
      <c r="AH7">
        <f t="shared" si="0"/>
        <v>6474.11</v>
      </c>
      <c r="AI7" s="2" t="s">
        <v>18</v>
      </c>
    </row>
    <row r="8" spans="1:35" hidden="1" x14ac:dyDescent="0.3">
      <c r="A8" s="2" t="s">
        <v>2</v>
      </c>
      <c r="B8">
        <v>35</v>
      </c>
      <c r="E8">
        <v>49</v>
      </c>
      <c r="H8">
        <v>55</v>
      </c>
      <c r="J8">
        <v>57</v>
      </c>
      <c r="L8">
        <v>40</v>
      </c>
      <c r="M8">
        <v>50</v>
      </c>
      <c r="O8">
        <v>52</v>
      </c>
      <c r="V8">
        <v>60</v>
      </c>
      <c r="AC8">
        <v>100</v>
      </c>
      <c r="AH8">
        <f t="shared" si="0"/>
        <v>498</v>
      </c>
      <c r="AI8" s="2" t="s">
        <v>2</v>
      </c>
    </row>
    <row r="9" spans="1:35" hidden="1" x14ac:dyDescent="0.3">
      <c r="A9" s="2" t="s">
        <v>19</v>
      </c>
      <c r="B9">
        <v>105</v>
      </c>
      <c r="F9">
        <v>45</v>
      </c>
      <c r="I9">
        <v>20</v>
      </c>
      <c r="L9">
        <v>45</v>
      </c>
      <c r="M9">
        <v>20</v>
      </c>
      <c r="O9">
        <v>70</v>
      </c>
      <c r="R9">
        <v>40</v>
      </c>
      <c r="T9">
        <v>45</v>
      </c>
      <c r="X9">
        <v>65</v>
      </c>
      <c r="Y9">
        <v>20</v>
      </c>
      <c r="AA9">
        <v>60</v>
      </c>
      <c r="AD9">
        <v>40</v>
      </c>
      <c r="AE9">
        <v>30</v>
      </c>
      <c r="AF9">
        <v>50</v>
      </c>
      <c r="AH9">
        <f t="shared" si="0"/>
        <v>655</v>
      </c>
      <c r="AI9" s="2" t="s">
        <v>19</v>
      </c>
    </row>
    <row r="10" spans="1:35" hidden="1" x14ac:dyDescent="0.3">
      <c r="A10" s="2" t="s">
        <v>7</v>
      </c>
      <c r="C10">
        <v>50</v>
      </c>
      <c r="G10">
        <v>50</v>
      </c>
      <c r="N10">
        <v>80</v>
      </c>
      <c r="U10">
        <v>50</v>
      </c>
      <c r="W10">
        <v>30</v>
      </c>
      <c r="AA10">
        <v>30</v>
      </c>
      <c r="AE10">
        <v>50</v>
      </c>
      <c r="AH10">
        <f t="shared" si="0"/>
        <v>340</v>
      </c>
      <c r="AI10" s="2" t="s">
        <v>7</v>
      </c>
    </row>
    <row r="11" spans="1:35" hidden="1" x14ac:dyDescent="0.3">
      <c r="A11" s="2" t="s">
        <v>15</v>
      </c>
      <c r="K11">
        <v>430</v>
      </c>
      <c r="L11">
        <v>326</v>
      </c>
      <c r="M11">
        <v>568</v>
      </c>
      <c r="N11">
        <v>281</v>
      </c>
      <c r="AH11">
        <f t="shared" si="0"/>
        <v>1605</v>
      </c>
      <c r="AI11" s="2" t="s">
        <v>15</v>
      </c>
    </row>
    <row r="12" spans="1:35" hidden="1" x14ac:dyDescent="0.3">
      <c r="A12" s="2" t="s">
        <v>13</v>
      </c>
      <c r="K12">
        <v>200</v>
      </c>
      <c r="AH12">
        <f t="shared" si="0"/>
        <v>200</v>
      </c>
      <c r="AI12" s="2" t="s">
        <v>13</v>
      </c>
    </row>
    <row r="13" spans="1:35" hidden="1" x14ac:dyDescent="0.3">
      <c r="A13" s="2" t="s">
        <v>17</v>
      </c>
      <c r="K13">
        <v>1179</v>
      </c>
      <c r="AH13">
        <f t="shared" si="0"/>
        <v>1179</v>
      </c>
      <c r="AI13" s="2" t="s">
        <v>17</v>
      </c>
    </row>
    <row r="14" spans="1:35" hidden="1" x14ac:dyDescent="0.3">
      <c r="A14" s="2" t="s">
        <v>20</v>
      </c>
      <c r="P14">
        <v>40</v>
      </c>
      <c r="R14">
        <v>40</v>
      </c>
      <c r="S14">
        <v>40</v>
      </c>
      <c r="T14">
        <v>170</v>
      </c>
      <c r="Y14">
        <v>252</v>
      </c>
      <c r="AH14">
        <f t="shared" si="0"/>
        <v>542</v>
      </c>
      <c r="AI14" s="2" t="s">
        <v>20</v>
      </c>
    </row>
    <row r="15" spans="1:35" hidden="1" x14ac:dyDescent="0.3">
      <c r="A15" s="2" t="s">
        <v>31</v>
      </c>
      <c r="AA15">
        <v>10</v>
      </c>
      <c r="AH15">
        <v>10</v>
      </c>
      <c r="AI15" s="2" t="s">
        <v>31</v>
      </c>
    </row>
    <row r="16" spans="1:35" x14ac:dyDescent="0.3">
      <c r="A16" s="2" t="s">
        <v>12</v>
      </c>
      <c r="C16">
        <v>3500</v>
      </c>
      <c r="D16">
        <v>30</v>
      </c>
      <c r="E16">
        <v>44</v>
      </c>
      <c r="Q16">
        <v>338</v>
      </c>
      <c r="V16">
        <v>20</v>
      </c>
      <c r="W16">
        <v>3</v>
      </c>
      <c r="Z16">
        <v>1020</v>
      </c>
      <c r="AC16">
        <v>14</v>
      </c>
      <c r="AH16">
        <f t="shared" si="0"/>
        <v>4969</v>
      </c>
      <c r="AI16" s="2" t="s">
        <v>12</v>
      </c>
    </row>
    <row r="17" spans="1:35" hidden="1" x14ac:dyDescent="0.3">
      <c r="A17" s="2" t="s">
        <v>30</v>
      </c>
      <c r="F17">
        <v>30</v>
      </c>
      <c r="L17">
        <v>15</v>
      </c>
      <c r="AH17">
        <f t="shared" si="0"/>
        <v>45</v>
      </c>
      <c r="AI17" s="2" t="s">
        <v>30</v>
      </c>
    </row>
    <row r="18" spans="1:35" hidden="1" x14ac:dyDescent="0.3">
      <c r="A18" s="2" t="s">
        <v>8</v>
      </c>
      <c r="N18">
        <v>304</v>
      </c>
      <c r="AH18">
        <f t="shared" si="0"/>
        <v>304</v>
      </c>
      <c r="AI18" s="2" t="s">
        <v>8</v>
      </c>
    </row>
    <row r="19" spans="1:35" hidden="1" x14ac:dyDescent="0.3">
      <c r="A19" s="2" t="s">
        <v>4</v>
      </c>
      <c r="B19">
        <v>15</v>
      </c>
      <c r="J19">
        <v>10</v>
      </c>
      <c r="AE19">
        <v>20</v>
      </c>
      <c r="AH19">
        <f t="shared" si="0"/>
        <v>45</v>
      </c>
      <c r="AI19" s="2" t="s">
        <v>4</v>
      </c>
    </row>
    <row r="20" spans="1:35" hidden="1" x14ac:dyDescent="0.3">
      <c r="A20" s="2" t="s">
        <v>89</v>
      </c>
      <c r="C20" s="13">
        <v>125</v>
      </c>
      <c r="D20" s="13">
        <v>1125</v>
      </c>
      <c r="H20" s="13">
        <v>40</v>
      </c>
      <c r="L20" s="13">
        <v>260</v>
      </c>
      <c r="M20" s="13">
        <v>189</v>
      </c>
      <c r="V20" s="13">
        <v>700</v>
      </c>
      <c r="AH20">
        <f>SUM(B20:AF20)</f>
        <v>2439</v>
      </c>
      <c r="AI20" s="2" t="s">
        <v>89</v>
      </c>
    </row>
    <row r="21" spans="1:35" hidden="1" x14ac:dyDescent="0.3">
      <c r="Q21" s="6">
        <f>SUM(B2:AF19)</f>
        <v>20986.74</v>
      </c>
    </row>
    <row r="22" spans="1:35" hidden="1" x14ac:dyDescent="0.3">
      <c r="B22" s="1">
        <v>45689</v>
      </c>
      <c r="C22" s="1">
        <v>45690</v>
      </c>
      <c r="D22" s="1">
        <v>45691</v>
      </c>
      <c r="E22" s="1">
        <v>45692</v>
      </c>
      <c r="F22" s="1">
        <v>45693</v>
      </c>
      <c r="G22" s="1">
        <v>45694</v>
      </c>
      <c r="H22" s="1">
        <v>45695</v>
      </c>
      <c r="I22" s="1">
        <v>45696</v>
      </c>
      <c r="J22" s="1">
        <v>45697</v>
      </c>
      <c r="K22" s="1">
        <v>45698</v>
      </c>
      <c r="L22" s="1">
        <v>45699</v>
      </c>
      <c r="M22" s="1">
        <v>45700</v>
      </c>
      <c r="N22" s="1">
        <v>45701</v>
      </c>
      <c r="O22" s="1">
        <v>45702</v>
      </c>
      <c r="P22" s="1">
        <v>45703</v>
      </c>
      <c r="Q22" s="1">
        <v>45704</v>
      </c>
      <c r="R22" s="1">
        <v>45705</v>
      </c>
      <c r="S22" s="1">
        <v>45706</v>
      </c>
      <c r="T22" s="1">
        <v>45707</v>
      </c>
      <c r="U22" s="1">
        <v>45708</v>
      </c>
      <c r="V22" s="1">
        <v>45709</v>
      </c>
      <c r="W22" s="1">
        <v>45710</v>
      </c>
      <c r="X22" s="1">
        <v>45711</v>
      </c>
      <c r="Y22" s="1">
        <v>45712</v>
      </c>
      <c r="Z22" s="1">
        <v>45713</v>
      </c>
      <c r="AA22" s="1">
        <v>45714</v>
      </c>
      <c r="AB22" s="1">
        <v>45715</v>
      </c>
      <c r="AC22" s="1">
        <v>45716</v>
      </c>
    </row>
    <row r="23" spans="1:35" hidden="1" x14ac:dyDescent="0.3">
      <c r="A23" s="2" t="s">
        <v>5</v>
      </c>
      <c r="C23">
        <v>50</v>
      </c>
      <c r="E23">
        <v>62</v>
      </c>
      <c r="F23">
        <v>0</v>
      </c>
      <c r="H23">
        <v>50</v>
      </c>
      <c r="I23">
        <v>0</v>
      </c>
      <c r="J23">
        <v>0</v>
      </c>
      <c r="K23">
        <v>62</v>
      </c>
      <c r="L23">
        <v>0</v>
      </c>
      <c r="M23">
        <v>62</v>
      </c>
      <c r="N23">
        <v>27</v>
      </c>
      <c r="O23">
        <v>50</v>
      </c>
      <c r="Q23">
        <v>50</v>
      </c>
      <c r="R23">
        <v>0</v>
      </c>
      <c r="S23">
        <v>50</v>
      </c>
      <c r="T23">
        <v>27</v>
      </c>
      <c r="U23">
        <v>50</v>
      </c>
      <c r="W23">
        <v>50</v>
      </c>
      <c r="X23">
        <v>0</v>
      </c>
      <c r="Y23">
        <v>50</v>
      </c>
      <c r="Z23">
        <v>0</v>
      </c>
      <c r="AA23">
        <v>62</v>
      </c>
      <c r="AB23">
        <v>27</v>
      </c>
      <c r="AC23">
        <v>50</v>
      </c>
      <c r="AH23">
        <f>SUM(B23:AC23)</f>
        <v>779</v>
      </c>
      <c r="AI23" s="2" t="s">
        <v>5</v>
      </c>
    </row>
    <row r="24" spans="1:35" hidden="1" x14ac:dyDescent="0.3">
      <c r="A24" t="s">
        <v>14</v>
      </c>
      <c r="I24">
        <v>5</v>
      </c>
      <c r="AH24">
        <f>SUM(B24:AC24)</f>
        <v>5</v>
      </c>
      <c r="AI24" t="s">
        <v>14</v>
      </c>
    </row>
    <row r="25" spans="1:35" hidden="1" x14ac:dyDescent="0.3">
      <c r="A25" s="2" t="s">
        <v>0</v>
      </c>
      <c r="D25" s="5">
        <v>200</v>
      </c>
      <c r="S25">
        <v>200</v>
      </c>
      <c r="X25">
        <v>200</v>
      </c>
      <c r="AH25">
        <f t="shared" ref="AH25:AH42" si="1">SUM(B25:AC25)</f>
        <v>600</v>
      </c>
      <c r="AI25" s="2" t="s">
        <v>0</v>
      </c>
    </row>
    <row r="26" spans="1:35" hidden="1" x14ac:dyDescent="0.3">
      <c r="A26" s="2" t="s">
        <v>16</v>
      </c>
      <c r="B26">
        <v>77</v>
      </c>
      <c r="C26">
        <v>60</v>
      </c>
      <c r="D26" s="1"/>
      <c r="F26">
        <v>115</v>
      </c>
      <c r="K26">
        <v>330</v>
      </c>
      <c r="L26">
        <v>16</v>
      </c>
      <c r="N26">
        <v>10</v>
      </c>
      <c r="P26">
        <v>145</v>
      </c>
      <c r="Q26">
        <v>70</v>
      </c>
      <c r="R26">
        <v>50</v>
      </c>
      <c r="S26">
        <v>18</v>
      </c>
      <c r="T26">
        <v>40</v>
      </c>
      <c r="U26">
        <v>70.61</v>
      </c>
      <c r="V26">
        <v>56.85</v>
      </c>
      <c r="X26">
        <v>110</v>
      </c>
      <c r="AB26">
        <v>20</v>
      </c>
      <c r="AC26">
        <v>144</v>
      </c>
      <c r="AH26">
        <f t="shared" si="1"/>
        <v>1332.46</v>
      </c>
      <c r="AI26" s="2" t="s">
        <v>16</v>
      </c>
    </row>
    <row r="27" spans="1:35" hidden="1" x14ac:dyDescent="0.3">
      <c r="A27" s="2" t="s">
        <v>34</v>
      </c>
      <c r="D27" s="1"/>
      <c r="Q27">
        <v>370</v>
      </c>
      <c r="S27">
        <v>216</v>
      </c>
      <c r="AH27">
        <f t="shared" si="1"/>
        <v>586</v>
      </c>
      <c r="AI27" s="2" t="s">
        <v>34</v>
      </c>
    </row>
    <row r="28" spans="1:35" hidden="1" x14ac:dyDescent="0.3">
      <c r="A28" s="2" t="s">
        <v>18</v>
      </c>
      <c r="K28">
        <v>45</v>
      </c>
      <c r="L28" s="4">
        <v>369.7</v>
      </c>
      <c r="M28" s="4">
        <v>1150.5999999999999</v>
      </c>
      <c r="U28" s="4">
        <v>630</v>
      </c>
      <c r="V28">
        <v>697.5</v>
      </c>
      <c r="X28">
        <v>120</v>
      </c>
      <c r="AB28">
        <v>60</v>
      </c>
      <c r="AH28">
        <f t="shared" si="1"/>
        <v>3072.8</v>
      </c>
      <c r="AI28" s="2" t="s">
        <v>18</v>
      </c>
    </row>
    <row r="29" spans="1:35" hidden="1" x14ac:dyDescent="0.3">
      <c r="A29" s="2" t="s">
        <v>2</v>
      </c>
      <c r="B29">
        <v>43</v>
      </c>
      <c r="F29">
        <v>80</v>
      </c>
      <c r="J29">
        <v>31</v>
      </c>
      <c r="K29">
        <v>20</v>
      </c>
      <c r="N29">
        <v>147</v>
      </c>
      <c r="P29">
        <v>121</v>
      </c>
      <c r="Q29">
        <v>180</v>
      </c>
      <c r="S29">
        <v>30</v>
      </c>
      <c r="U29">
        <v>111</v>
      </c>
      <c r="V29">
        <v>135</v>
      </c>
      <c r="X29">
        <v>50</v>
      </c>
      <c r="Y29">
        <v>91</v>
      </c>
      <c r="AA29">
        <v>39</v>
      </c>
      <c r="AC29">
        <v>83.16</v>
      </c>
      <c r="AH29">
        <f t="shared" si="1"/>
        <v>1161.1600000000001</v>
      </c>
      <c r="AI29" s="2" t="s">
        <v>2</v>
      </c>
    </row>
    <row r="30" spans="1:35" hidden="1" x14ac:dyDescent="0.3">
      <c r="A30" s="2" t="s">
        <v>19</v>
      </c>
      <c r="B30">
        <v>60</v>
      </c>
      <c r="L30" s="4">
        <v>145</v>
      </c>
      <c r="N30">
        <v>50</v>
      </c>
      <c r="Q30">
        <v>40</v>
      </c>
      <c r="S30">
        <v>90</v>
      </c>
      <c r="U30">
        <v>85</v>
      </c>
      <c r="V30">
        <v>12.5</v>
      </c>
      <c r="W30">
        <v>110</v>
      </c>
      <c r="X30">
        <v>70</v>
      </c>
      <c r="AC30">
        <v>30</v>
      </c>
      <c r="AH30">
        <f t="shared" si="1"/>
        <v>692.5</v>
      </c>
      <c r="AI30" s="2" t="s">
        <v>19</v>
      </c>
    </row>
    <row r="31" spans="1:35" hidden="1" x14ac:dyDescent="0.3">
      <c r="A31" s="2" t="s">
        <v>7</v>
      </c>
      <c r="E31">
        <v>50</v>
      </c>
      <c r="K31">
        <v>60</v>
      </c>
      <c r="Q31">
        <v>80</v>
      </c>
      <c r="X31" t="s">
        <v>52</v>
      </c>
      <c r="Y31">
        <v>50</v>
      </c>
      <c r="AH31">
        <f t="shared" si="1"/>
        <v>240</v>
      </c>
      <c r="AI31" s="2" t="s">
        <v>7</v>
      </c>
    </row>
    <row r="32" spans="1:35" hidden="1" x14ac:dyDescent="0.3">
      <c r="A32" s="2" t="s">
        <v>15</v>
      </c>
      <c r="K32">
        <v>283.70999999999998</v>
      </c>
      <c r="L32">
        <v>457</v>
      </c>
      <c r="M32">
        <v>320</v>
      </c>
      <c r="N32">
        <v>523</v>
      </c>
      <c r="AH32">
        <f t="shared" si="1"/>
        <v>1583.71</v>
      </c>
      <c r="AI32" s="2" t="s">
        <v>15</v>
      </c>
    </row>
    <row r="33" spans="1:36" hidden="1" x14ac:dyDescent="0.3">
      <c r="A33" s="2" t="s">
        <v>13</v>
      </c>
      <c r="P33">
        <v>200</v>
      </c>
      <c r="AH33">
        <f t="shared" si="1"/>
        <v>200</v>
      </c>
      <c r="AI33" s="2" t="s">
        <v>13</v>
      </c>
    </row>
    <row r="34" spans="1:36" hidden="1" x14ac:dyDescent="0.3">
      <c r="A34" s="2" t="s">
        <v>17</v>
      </c>
      <c r="P34">
        <v>1179</v>
      </c>
      <c r="W34">
        <v>107</v>
      </c>
      <c r="AH34">
        <f t="shared" si="1"/>
        <v>1286</v>
      </c>
      <c r="AI34" s="2" t="s">
        <v>17</v>
      </c>
    </row>
    <row r="35" spans="1:36" hidden="1" x14ac:dyDescent="0.3">
      <c r="A35" s="2" t="s">
        <v>20</v>
      </c>
      <c r="B35">
        <v>1500</v>
      </c>
      <c r="H35">
        <v>80</v>
      </c>
      <c r="K35">
        <v>25</v>
      </c>
      <c r="AH35">
        <f t="shared" si="1"/>
        <v>1605</v>
      </c>
      <c r="AI35" s="2" t="s">
        <v>20</v>
      </c>
    </row>
    <row r="36" spans="1:36" hidden="1" x14ac:dyDescent="0.3">
      <c r="A36" s="2" t="s">
        <v>10</v>
      </c>
      <c r="C36">
        <v>2000</v>
      </c>
      <c r="AH36">
        <f t="shared" si="1"/>
        <v>2000</v>
      </c>
      <c r="AI36" s="2" t="s">
        <v>10</v>
      </c>
    </row>
    <row r="37" spans="1:36" hidden="1" x14ac:dyDescent="0.3">
      <c r="A37" s="2" t="s">
        <v>30</v>
      </c>
      <c r="AA37">
        <v>30</v>
      </c>
      <c r="AH37">
        <f>SUM(B37:AC37)</f>
        <v>30</v>
      </c>
      <c r="AI37" s="2" t="s">
        <v>30</v>
      </c>
    </row>
    <row r="38" spans="1:36" hidden="1" x14ac:dyDescent="0.3">
      <c r="A38" s="2" t="s">
        <v>90</v>
      </c>
      <c r="C38">
        <v>235</v>
      </c>
      <c r="J38">
        <v>30</v>
      </c>
      <c r="AH38">
        <f t="shared" si="1"/>
        <v>265</v>
      </c>
      <c r="AI38" s="2" t="s">
        <v>90</v>
      </c>
    </row>
    <row r="39" spans="1:36" x14ac:dyDescent="0.3">
      <c r="A39" s="2" t="s">
        <v>12</v>
      </c>
      <c r="D39">
        <v>5000</v>
      </c>
      <c r="E39">
        <v>770</v>
      </c>
      <c r="Q39">
        <v>100</v>
      </c>
      <c r="U39">
        <v>18</v>
      </c>
      <c r="AH39">
        <f t="shared" si="1"/>
        <v>5888</v>
      </c>
      <c r="AI39" s="2" t="s">
        <v>12</v>
      </c>
    </row>
    <row r="40" spans="1:36" hidden="1" x14ac:dyDescent="0.3">
      <c r="A40" s="2" t="s">
        <v>11</v>
      </c>
      <c r="W40">
        <v>820</v>
      </c>
      <c r="AH40">
        <f t="shared" si="1"/>
        <v>820</v>
      </c>
      <c r="AI40" s="2" t="s">
        <v>11</v>
      </c>
    </row>
    <row r="41" spans="1:36" hidden="1" x14ac:dyDescent="0.3">
      <c r="A41" s="2" t="s">
        <v>8</v>
      </c>
      <c r="C41">
        <v>100</v>
      </c>
      <c r="K41">
        <v>25</v>
      </c>
      <c r="AH41">
        <f t="shared" si="1"/>
        <v>125</v>
      </c>
      <c r="AI41" s="2" t="s">
        <v>8</v>
      </c>
    </row>
    <row r="42" spans="1:36" hidden="1" x14ac:dyDescent="0.3">
      <c r="A42" s="2" t="s">
        <v>4</v>
      </c>
      <c r="C42">
        <v>30</v>
      </c>
      <c r="AC42">
        <v>10</v>
      </c>
      <c r="AH42">
        <f t="shared" si="1"/>
        <v>40</v>
      </c>
      <c r="AI42" s="2" t="s">
        <v>4</v>
      </c>
    </row>
    <row r="43" spans="1:36" hidden="1" x14ac:dyDescent="0.3">
      <c r="A43" s="2" t="s">
        <v>89</v>
      </c>
      <c r="G43" s="13">
        <v>2425</v>
      </c>
      <c r="L43" s="13">
        <v>107</v>
      </c>
      <c r="M43" s="13">
        <v>216</v>
      </c>
      <c r="AH43">
        <f>SUM(B43:AC43)</f>
        <v>2748</v>
      </c>
      <c r="AI43" s="2" t="s">
        <v>89</v>
      </c>
    </row>
    <row r="44" spans="1:36" hidden="1" x14ac:dyDescent="0.3">
      <c r="Q44" s="6">
        <f>SUM(B23:AC42)</f>
        <v>22311.629999999997</v>
      </c>
      <c r="AJ44">
        <f>SUM(Q44,Q21)</f>
        <v>43298.369999999995</v>
      </c>
    </row>
    <row r="45" spans="1:36" hidden="1" x14ac:dyDescent="0.3">
      <c r="B45" s="1">
        <v>45717</v>
      </c>
      <c r="C45" s="1">
        <v>45718</v>
      </c>
      <c r="D45" s="1">
        <v>45719</v>
      </c>
      <c r="E45" s="1">
        <v>45720</v>
      </c>
      <c r="F45" s="1">
        <v>45721</v>
      </c>
      <c r="G45" s="1">
        <v>45722</v>
      </c>
      <c r="H45" s="1">
        <v>45723</v>
      </c>
      <c r="I45" s="1">
        <v>45724</v>
      </c>
      <c r="J45" s="1">
        <v>45725</v>
      </c>
      <c r="K45" s="1">
        <v>45726</v>
      </c>
      <c r="L45" s="1">
        <v>45727</v>
      </c>
      <c r="M45" s="1">
        <v>45728</v>
      </c>
      <c r="N45" s="1">
        <v>45729</v>
      </c>
      <c r="O45" s="1">
        <v>45730</v>
      </c>
      <c r="P45" s="1">
        <v>45731</v>
      </c>
      <c r="Q45" s="1">
        <v>45732</v>
      </c>
      <c r="R45" s="1">
        <v>45733</v>
      </c>
      <c r="S45" s="1">
        <v>45734</v>
      </c>
      <c r="T45" s="1">
        <v>45735</v>
      </c>
      <c r="U45" s="1">
        <v>45736</v>
      </c>
      <c r="V45" s="1">
        <v>45737</v>
      </c>
      <c r="W45" s="1">
        <v>45738</v>
      </c>
      <c r="X45" s="1">
        <v>45739</v>
      </c>
      <c r="Y45" s="1">
        <v>45740</v>
      </c>
      <c r="Z45" s="1">
        <v>45741</v>
      </c>
      <c r="AA45" s="1">
        <v>45742</v>
      </c>
      <c r="AB45" s="1">
        <v>45743</v>
      </c>
      <c r="AC45" s="1">
        <v>45744</v>
      </c>
      <c r="AD45" s="1">
        <v>45745</v>
      </c>
      <c r="AE45" s="1">
        <v>45746</v>
      </c>
      <c r="AF45" s="1">
        <v>45747</v>
      </c>
    </row>
    <row r="46" spans="1:36" hidden="1" x14ac:dyDescent="0.3">
      <c r="A46" s="2" t="s">
        <v>5</v>
      </c>
      <c r="D46">
        <v>50</v>
      </c>
      <c r="E46">
        <v>0</v>
      </c>
      <c r="F46">
        <v>50</v>
      </c>
      <c r="G46">
        <v>12</v>
      </c>
      <c r="H46" s="4">
        <v>50</v>
      </c>
      <c r="J46">
        <v>50</v>
      </c>
      <c r="L46">
        <v>50</v>
      </c>
      <c r="N46">
        <v>50</v>
      </c>
      <c r="P46">
        <v>50</v>
      </c>
      <c r="R46">
        <v>50</v>
      </c>
      <c r="T46">
        <v>50</v>
      </c>
      <c r="V46">
        <v>50</v>
      </c>
      <c r="X46">
        <v>50</v>
      </c>
      <c r="AA46">
        <v>50</v>
      </c>
      <c r="AC46">
        <v>50</v>
      </c>
      <c r="AE46">
        <v>62</v>
      </c>
      <c r="AH46">
        <f>SUM(B46:AF46)</f>
        <v>724</v>
      </c>
      <c r="AI46" s="2" t="s">
        <v>5</v>
      </c>
    </row>
    <row r="47" spans="1:36" hidden="1" x14ac:dyDescent="0.3">
      <c r="A47" s="2" t="s">
        <v>0</v>
      </c>
      <c r="D47" s="5">
        <v>200</v>
      </c>
      <c r="V47">
        <v>200</v>
      </c>
      <c r="AC47">
        <v>1000</v>
      </c>
      <c r="AH47">
        <f t="shared" ref="AH47:AH61" si="2">SUM(B47:AF47)</f>
        <v>1400</v>
      </c>
      <c r="AI47" s="2" t="s">
        <v>0</v>
      </c>
    </row>
    <row r="48" spans="1:36" hidden="1" x14ac:dyDescent="0.3">
      <c r="A48" s="2" t="s">
        <v>16</v>
      </c>
      <c r="B48">
        <v>151</v>
      </c>
      <c r="D48">
        <v>55</v>
      </c>
      <c r="F48">
        <v>15</v>
      </c>
      <c r="G48">
        <v>80</v>
      </c>
      <c r="H48" s="4">
        <v>58.73</v>
      </c>
      <c r="J48">
        <v>15</v>
      </c>
      <c r="N48">
        <v>50</v>
      </c>
      <c r="O48" s="4">
        <v>51</v>
      </c>
      <c r="P48">
        <v>10</v>
      </c>
      <c r="U48">
        <v>51</v>
      </c>
      <c r="V48">
        <v>87</v>
      </c>
      <c r="X48">
        <v>73</v>
      </c>
      <c r="Y48">
        <v>35</v>
      </c>
      <c r="AA48">
        <v>104.8</v>
      </c>
      <c r="AD48">
        <v>90</v>
      </c>
      <c r="AH48">
        <f t="shared" si="2"/>
        <v>926.53</v>
      </c>
      <c r="AI48" s="2" t="s">
        <v>16</v>
      </c>
    </row>
    <row r="49" spans="1:36" hidden="1" x14ac:dyDescent="0.3">
      <c r="A49" s="2" t="s">
        <v>34</v>
      </c>
      <c r="F49">
        <v>201.5</v>
      </c>
      <c r="O49" s="4"/>
      <c r="Y49">
        <v>48</v>
      </c>
      <c r="AH49">
        <f t="shared" si="2"/>
        <v>249.5</v>
      </c>
      <c r="AI49" s="2" t="s">
        <v>34</v>
      </c>
    </row>
    <row r="50" spans="1:36" hidden="1" x14ac:dyDescent="0.3">
      <c r="A50" s="2" t="s">
        <v>18</v>
      </c>
      <c r="B50">
        <v>505.7</v>
      </c>
      <c r="F50">
        <v>18</v>
      </c>
      <c r="I50">
        <v>44</v>
      </c>
      <c r="J50" s="4">
        <v>673.29</v>
      </c>
      <c r="O50" s="4">
        <v>191.49</v>
      </c>
      <c r="Q50">
        <v>56.89</v>
      </c>
      <c r="V50">
        <v>105</v>
      </c>
      <c r="Y50">
        <v>43</v>
      </c>
      <c r="Z50" s="4">
        <v>391</v>
      </c>
      <c r="AA50">
        <v>202.72</v>
      </c>
      <c r="AD50">
        <v>35</v>
      </c>
      <c r="AH50">
        <f t="shared" si="2"/>
        <v>2266.09</v>
      </c>
      <c r="AI50" s="2" t="s">
        <v>18</v>
      </c>
    </row>
    <row r="51" spans="1:36" hidden="1" x14ac:dyDescent="0.3">
      <c r="A51" s="2" t="s">
        <v>2</v>
      </c>
      <c r="B51">
        <v>29</v>
      </c>
      <c r="C51">
        <v>30</v>
      </c>
      <c r="E51">
        <v>23</v>
      </c>
      <c r="F51">
        <v>148.5</v>
      </c>
      <c r="I51">
        <v>190</v>
      </c>
      <c r="J51">
        <v>70</v>
      </c>
      <c r="Q51">
        <v>143.25</v>
      </c>
      <c r="T51">
        <v>27</v>
      </c>
      <c r="V51">
        <v>115.35</v>
      </c>
      <c r="AA51">
        <v>106.02</v>
      </c>
      <c r="AH51">
        <f t="shared" si="2"/>
        <v>882.12</v>
      </c>
      <c r="AI51" s="2" t="s">
        <v>2</v>
      </c>
    </row>
    <row r="52" spans="1:36" hidden="1" x14ac:dyDescent="0.3">
      <c r="A52" s="2" t="s">
        <v>19</v>
      </c>
      <c r="B52">
        <v>81.3</v>
      </c>
      <c r="C52">
        <v>205</v>
      </c>
      <c r="F52">
        <v>45</v>
      </c>
      <c r="H52">
        <v>45</v>
      </c>
      <c r="O52">
        <v>40</v>
      </c>
      <c r="Q52">
        <v>110.75</v>
      </c>
      <c r="T52">
        <v>40</v>
      </c>
      <c r="V52">
        <v>263.60000000000002</v>
      </c>
      <c r="X52">
        <v>40</v>
      </c>
      <c r="AA52">
        <v>179.5</v>
      </c>
      <c r="AD52">
        <v>20</v>
      </c>
      <c r="AH52">
        <f t="shared" si="2"/>
        <v>1070.1500000000001</v>
      </c>
      <c r="AI52" s="2" t="s">
        <v>19</v>
      </c>
    </row>
    <row r="53" spans="1:36" hidden="1" x14ac:dyDescent="0.3">
      <c r="A53" s="2" t="s">
        <v>7</v>
      </c>
      <c r="H53">
        <v>25</v>
      </c>
      <c r="W53">
        <v>25</v>
      </c>
      <c r="Y53">
        <v>30</v>
      </c>
      <c r="AC53">
        <v>50</v>
      </c>
      <c r="AH53">
        <f t="shared" si="2"/>
        <v>130</v>
      </c>
      <c r="AI53" s="2" t="s">
        <v>7</v>
      </c>
    </row>
    <row r="54" spans="1:36" hidden="1" x14ac:dyDescent="0.3">
      <c r="A54" s="2" t="s">
        <v>15</v>
      </c>
      <c r="K54">
        <v>439</v>
      </c>
      <c r="L54">
        <v>320</v>
      </c>
      <c r="M54">
        <v>366</v>
      </c>
      <c r="N54">
        <v>265</v>
      </c>
      <c r="AH54">
        <f t="shared" si="2"/>
        <v>1390</v>
      </c>
      <c r="AI54" s="2" t="s">
        <v>15</v>
      </c>
    </row>
    <row r="55" spans="1:36" hidden="1" x14ac:dyDescent="0.3">
      <c r="A55" s="2" t="s">
        <v>13</v>
      </c>
      <c r="M55">
        <v>200</v>
      </c>
      <c r="AH55">
        <f t="shared" si="2"/>
        <v>200</v>
      </c>
      <c r="AI55" s="2" t="s">
        <v>13</v>
      </c>
    </row>
    <row r="56" spans="1:36" hidden="1" x14ac:dyDescent="0.3">
      <c r="A56" s="2" t="s">
        <v>17</v>
      </c>
      <c r="P56">
        <v>1179</v>
      </c>
      <c r="AH56">
        <f t="shared" si="2"/>
        <v>1179</v>
      </c>
      <c r="AI56" s="2" t="s">
        <v>17</v>
      </c>
    </row>
    <row r="57" spans="1:36" hidden="1" x14ac:dyDescent="0.3">
      <c r="A57" s="2" t="s">
        <v>20</v>
      </c>
      <c r="B57">
        <v>3599</v>
      </c>
      <c r="P57">
        <v>50</v>
      </c>
      <c r="Q57">
        <v>200</v>
      </c>
      <c r="U57">
        <v>25</v>
      </c>
      <c r="AH57">
        <f t="shared" si="2"/>
        <v>3874</v>
      </c>
      <c r="AI57" s="2" t="s">
        <v>20</v>
      </c>
    </row>
    <row r="58" spans="1:36" hidden="1" x14ac:dyDescent="0.3">
      <c r="A58" s="2" t="s">
        <v>8</v>
      </c>
      <c r="AD58" s="17">
        <v>449</v>
      </c>
      <c r="AH58">
        <f>SUM(B58:AF58)</f>
        <v>449</v>
      </c>
      <c r="AI58" s="2" t="s">
        <v>3</v>
      </c>
    </row>
    <row r="59" spans="1:36" x14ac:dyDescent="0.3">
      <c r="A59" s="2" t="s">
        <v>12</v>
      </c>
      <c r="E59">
        <v>10</v>
      </c>
      <c r="M59">
        <v>30</v>
      </c>
      <c r="V59">
        <v>30</v>
      </c>
      <c r="Y59">
        <v>30</v>
      </c>
      <c r="AB59">
        <v>202</v>
      </c>
      <c r="AH59">
        <f t="shared" si="2"/>
        <v>302</v>
      </c>
      <c r="AI59" s="2" t="s">
        <v>12</v>
      </c>
    </row>
    <row r="60" spans="1:36" hidden="1" x14ac:dyDescent="0.3">
      <c r="A60" s="2" t="s">
        <v>4</v>
      </c>
      <c r="E60">
        <v>12</v>
      </c>
      <c r="J60">
        <v>260</v>
      </c>
      <c r="AH60">
        <f t="shared" si="2"/>
        <v>272</v>
      </c>
      <c r="AI60" s="2" t="s">
        <v>4</v>
      </c>
    </row>
    <row r="61" spans="1:36" hidden="1" x14ac:dyDescent="0.3">
      <c r="A61" s="2" t="s">
        <v>89</v>
      </c>
      <c r="H61" s="16">
        <v>693.32</v>
      </c>
      <c r="I61" s="13">
        <v>380</v>
      </c>
      <c r="J61" s="13">
        <v>10</v>
      </c>
      <c r="K61" s="13">
        <v>100</v>
      </c>
      <c r="L61" s="13"/>
      <c r="M61" s="13">
        <v>25</v>
      </c>
      <c r="Q61">
        <v>179.33</v>
      </c>
      <c r="R61">
        <v>12</v>
      </c>
      <c r="AD61">
        <v>10</v>
      </c>
      <c r="AE61">
        <v>10</v>
      </c>
      <c r="AH61">
        <f t="shared" si="2"/>
        <v>1419.65</v>
      </c>
      <c r="AI61" s="2" t="s">
        <v>89</v>
      </c>
    </row>
    <row r="62" spans="1:36" hidden="1" x14ac:dyDescent="0.3">
      <c r="Q62" s="6">
        <f>SUM(B46:AF60)</f>
        <v>15314.390000000003</v>
      </c>
      <c r="AJ62">
        <f>SUM(AJ44,Q62)</f>
        <v>58612.759999999995</v>
      </c>
    </row>
    <row r="63" spans="1:36" hidden="1" x14ac:dyDescent="0.3">
      <c r="B63" s="1">
        <v>45748</v>
      </c>
      <c r="C63" s="1">
        <v>45749</v>
      </c>
      <c r="D63" s="1">
        <v>45750</v>
      </c>
      <c r="E63" s="1">
        <v>45751</v>
      </c>
      <c r="F63" s="1">
        <v>45752</v>
      </c>
      <c r="G63" s="1">
        <v>45753</v>
      </c>
      <c r="H63" s="1">
        <v>45754</v>
      </c>
      <c r="I63" s="1">
        <v>45755</v>
      </c>
      <c r="J63" s="1">
        <v>45756</v>
      </c>
      <c r="K63" s="1">
        <v>45757</v>
      </c>
      <c r="L63" s="1">
        <v>45758</v>
      </c>
      <c r="M63" s="1">
        <v>45759</v>
      </c>
      <c r="N63" s="1">
        <v>45760</v>
      </c>
      <c r="O63" s="1">
        <v>45761</v>
      </c>
      <c r="P63" s="1">
        <v>45762</v>
      </c>
      <c r="Q63" s="1">
        <v>45763</v>
      </c>
      <c r="R63" s="1">
        <v>45764</v>
      </c>
      <c r="S63" s="1">
        <v>45765</v>
      </c>
      <c r="T63" s="1">
        <v>45766</v>
      </c>
      <c r="U63" s="1">
        <v>45767</v>
      </c>
      <c r="V63" s="1">
        <v>45768</v>
      </c>
      <c r="W63" s="1">
        <v>45769</v>
      </c>
      <c r="X63" s="1">
        <v>45770</v>
      </c>
      <c r="Y63" s="1">
        <v>45771</v>
      </c>
      <c r="Z63" s="1">
        <v>45772</v>
      </c>
      <c r="AA63" s="1">
        <v>45773</v>
      </c>
      <c r="AB63" s="1">
        <v>45774</v>
      </c>
      <c r="AC63" s="1">
        <v>45775</v>
      </c>
      <c r="AD63" s="1">
        <v>45776</v>
      </c>
      <c r="AE63" s="1">
        <v>45777</v>
      </c>
    </row>
    <row r="64" spans="1:36" hidden="1" x14ac:dyDescent="0.3">
      <c r="A64" s="2" t="s">
        <v>5</v>
      </c>
      <c r="C64">
        <v>65</v>
      </c>
      <c r="E64">
        <v>52</v>
      </c>
      <c r="G64">
        <v>52</v>
      </c>
      <c r="I64">
        <v>52</v>
      </c>
      <c r="K64">
        <v>26</v>
      </c>
      <c r="L64">
        <v>52</v>
      </c>
      <c r="O64">
        <v>65</v>
      </c>
      <c r="P64">
        <v>13</v>
      </c>
      <c r="Q64" s="4">
        <v>52</v>
      </c>
      <c r="S64">
        <v>52</v>
      </c>
      <c r="U64">
        <v>52</v>
      </c>
      <c r="X64">
        <v>55</v>
      </c>
      <c r="Y64">
        <v>65</v>
      </c>
      <c r="AA64">
        <v>52</v>
      </c>
      <c r="AB64">
        <v>65</v>
      </c>
      <c r="AD64">
        <v>24</v>
      </c>
      <c r="AE64">
        <v>28</v>
      </c>
      <c r="AH64">
        <f>SUM(B64:AE64)</f>
        <v>822</v>
      </c>
      <c r="AI64" s="2" t="s">
        <v>5</v>
      </c>
    </row>
    <row r="65" spans="1:35" hidden="1" x14ac:dyDescent="0.3">
      <c r="A65" s="2" t="s">
        <v>0</v>
      </c>
      <c r="E65">
        <v>200</v>
      </c>
      <c r="O65" s="5">
        <v>200</v>
      </c>
      <c r="Q65">
        <v>200</v>
      </c>
      <c r="U65">
        <v>1000</v>
      </c>
      <c r="Z65" s="5">
        <v>200</v>
      </c>
      <c r="AA65">
        <v>200</v>
      </c>
      <c r="AH65">
        <f>SUM(B65:AE65)</f>
        <v>2000</v>
      </c>
      <c r="AI65" s="2" t="s">
        <v>0</v>
      </c>
    </row>
    <row r="66" spans="1:35" hidden="1" x14ac:dyDescent="0.3">
      <c r="A66" s="2" t="s">
        <v>16</v>
      </c>
      <c r="D66">
        <v>113.73</v>
      </c>
      <c r="F66">
        <v>93</v>
      </c>
      <c r="H66">
        <v>90</v>
      </c>
      <c r="J66">
        <v>16</v>
      </c>
      <c r="P66">
        <v>20</v>
      </c>
      <c r="Q66" s="4">
        <v>137.32</v>
      </c>
      <c r="S66">
        <v>70</v>
      </c>
      <c r="W66">
        <v>16</v>
      </c>
      <c r="Y66">
        <v>15</v>
      </c>
      <c r="AB66">
        <v>270</v>
      </c>
      <c r="AC66">
        <v>55</v>
      </c>
      <c r="AH66">
        <f t="shared" ref="AH66:AH83" si="3">SUM(B66:AE66)</f>
        <v>896.05</v>
      </c>
      <c r="AI66" s="2" t="s">
        <v>16</v>
      </c>
    </row>
    <row r="67" spans="1:35" hidden="1" x14ac:dyDescent="0.3">
      <c r="A67" s="2" t="s">
        <v>34</v>
      </c>
      <c r="R67">
        <v>480.5</v>
      </c>
      <c r="S67">
        <v>320</v>
      </c>
      <c r="AH67">
        <f t="shared" si="3"/>
        <v>800.5</v>
      </c>
      <c r="AI67" s="2" t="s">
        <v>34</v>
      </c>
    </row>
    <row r="68" spans="1:35" hidden="1" x14ac:dyDescent="0.3">
      <c r="A68" s="2" t="s">
        <v>18</v>
      </c>
      <c r="D68">
        <v>109</v>
      </c>
      <c r="E68">
        <v>180.38</v>
      </c>
      <c r="P68">
        <v>60</v>
      </c>
      <c r="Q68" s="4">
        <v>1120</v>
      </c>
      <c r="R68" s="4">
        <v>607.87</v>
      </c>
      <c r="S68">
        <v>305</v>
      </c>
      <c r="U68">
        <v>10</v>
      </c>
      <c r="V68">
        <v>155</v>
      </c>
      <c r="W68">
        <v>505.33</v>
      </c>
      <c r="Z68">
        <v>20</v>
      </c>
      <c r="AA68">
        <v>139</v>
      </c>
      <c r="AE68">
        <v>944.5</v>
      </c>
      <c r="AH68">
        <f t="shared" si="3"/>
        <v>4156.08</v>
      </c>
      <c r="AI68" s="2" t="s">
        <v>18</v>
      </c>
    </row>
    <row r="69" spans="1:35" hidden="1" x14ac:dyDescent="0.3">
      <c r="A69" s="2" t="s">
        <v>2</v>
      </c>
      <c r="D69">
        <v>29.59</v>
      </c>
      <c r="E69">
        <v>64.540000000000006</v>
      </c>
      <c r="F69">
        <v>15</v>
      </c>
      <c r="H69">
        <v>24</v>
      </c>
      <c r="N69">
        <v>70</v>
      </c>
      <c r="P69">
        <v>50</v>
      </c>
      <c r="Q69" s="4">
        <v>18.78</v>
      </c>
      <c r="R69" s="4">
        <v>93.66</v>
      </c>
      <c r="T69">
        <v>30</v>
      </c>
      <c r="U69">
        <v>30</v>
      </c>
      <c r="V69">
        <v>20</v>
      </c>
      <c r="W69">
        <v>93</v>
      </c>
      <c r="Y69">
        <v>50</v>
      </c>
      <c r="AB69">
        <v>200</v>
      </c>
      <c r="AH69">
        <f t="shared" si="3"/>
        <v>788.56999999999994</v>
      </c>
      <c r="AI69" s="2" t="s">
        <v>2</v>
      </c>
    </row>
    <row r="70" spans="1:35" hidden="1" x14ac:dyDescent="0.3">
      <c r="A70" s="2" t="s">
        <v>19</v>
      </c>
      <c r="D70">
        <v>42.5</v>
      </c>
      <c r="E70">
        <v>57.5</v>
      </c>
      <c r="G70">
        <v>75</v>
      </c>
      <c r="H70">
        <v>15</v>
      </c>
      <c r="J70">
        <v>20</v>
      </c>
      <c r="L70">
        <v>30</v>
      </c>
      <c r="P70">
        <v>15</v>
      </c>
      <c r="R70" s="4">
        <v>46.5</v>
      </c>
      <c r="S70">
        <v>75</v>
      </c>
      <c r="U70">
        <v>120</v>
      </c>
      <c r="W70">
        <v>37.5</v>
      </c>
      <c r="Z70">
        <v>30</v>
      </c>
      <c r="AA70">
        <v>20</v>
      </c>
      <c r="AB70">
        <v>55</v>
      </c>
      <c r="AD70">
        <v>15</v>
      </c>
      <c r="AE70">
        <v>40</v>
      </c>
      <c r="AH70">
        <f t="shared" si="3"/>
        <v>694</v>
      </c>
      <c r="AI70" s="2" t="s">
        <v>19</v>
      </c>
    </row>
    <row r="71" spans="1:35" hidden="1" x14ac:dyDescent="0.3">
      <c r="A71" s="2" t="s">
        <v>7</v>
      </c>
      <c r="D71">
        <v>50</v>
      </c>
      <c r="F71">
        <v>30</v>
      </c>
      <c r="P71">
        <v>50</v>
      </c>
      <c r="W71">
        <v>30</v>
      </c>
      <c r="Z71">
        <v>30</v>
      </c>
      <c r="AB71">
        <v>100</v>
      </c>
      <c r="AH71">
        <f t="shared" si="3"/>
        <v>290</v>
      </c>
      <c r="AI71" s="2" t="s">
        <v>7</v>
      </c>
    </row>
    <row r="72" spans="1:35" hidden="1" x14ac:dyDescent="0.3">
      <c r="A72" s="2" t="s">
        <v>15</v>
      </c>
      <c r="K72">
        <v>516</v>
      </c>
      <c r="L72">
        <v>320</v>
      </c>
      <c r="M72">
        <v>365</v>
      </c>
      <c r="N72">
        <v>263</v>
      </c>
      <c r="AH72">
        <f t="shared" si="3"/>
        <v>1464</v>
      </c>
      <c r="AI72" s="2" t="s">
        <v>15</v>
      </c>
    </row>
    <row r="73" spans="1:35" hidden="1" x14ac:dyDescent="0.3">
      <c r="A73" s="2" t="s">
        <v>13</v>
      </c>
      <c r="P73">
        <v>200</v>
      </c>
      <c r="AH73">
        <f t="shared" si="3"/>
        <v>200</v>
      </c>
      <c r="AI73" s="2" t="s">
        <v>13</v>
      </c>
    </row>
    <row r="74" spans="1:35" hidden="1" x14ac:dyDescent="0.3">
      <c r="A74" s="2" t="s">
        <v>17</v>
      </c>
      <c r="P74">
        <v>1179</v>
      </c>
      <c r="AH74">
        <f t="shared" si="3"/>
        <v>1179</v>
      </c>
      <c r="AI74" s="2" t="s">
        <v>17</v>
      </c>
    </row>
    <row r="75" spans="1:35" hidden="1" x14ac:dyDescent="0.3">
      <c r="A75" s="2" t="s">
        <v>30</v>
      </c>
      <c r="G75">
        <v>220</v>
      </c>
      <c r="P75" s="3"/>
      <c r="AH75">
        <f>SUM(B75:AE75)</f>
        <v>220</v>
      </c>
      <c r="AI75" s="2" t="s">
        <v>30</v>
      </c>
    </row>
    <row r="76" spans="1:35" hidden="1" x14ac:dyDescent="0.3">
      <c r="A76" s="2" t="s">
        <v>11</v>
      </c>
      <c r="P76" s="3"/>
      <c r="AD76">
        <v>870</v>
      </c>
      <c r="AH76">
        <f>SUM(B76:AE76)</f>
        <v>870</v>
      </c>
      <c r="AI76" s="2" t="s">
        <v>11</v>
      </c>
    </row>
    <row r="77" spans="1:35" hidden="1" x14ac:dyDescent="0.3">
      <c r="A77" s="2" t="s">
        <v>1</v>
      </c>
      <c r="K77">
        <v>1000</v>
      </c>
      <c r="P77" s="3"/>
      <c r="AH77">
        <f>SUM(B77:AE77)</f>
        <v>1000</v>
      </c>
      <c r="AI77" s="2" t="s">
        <v>1</v>
      </c>
    </row>
    <row r="78" spans="1:35" hidden="1" x14ac:dyDescent="0.3">
      <c r="A78" s="2" t="s">
        <v>20</v>
      </c>
      <c r="X78">
        <v>159</v>
      </c>
      <c r="AH78">
        <f t="shared" si="3"/>
        <v>159</v>
      </c>
      <c r="AI78" s="2" t="s">
        <v>20</v>
      </c>
    </row>
    <row r="79" spans="1:35" hidden="1" x14ac:dyDescent="0.3">
      <c r="A79" s="2" t="s">
        <v>8</v>
      </c>
      <c r="B79" s="3">
        <v>767</v>
      </c>
      <c r="F79" s="3">
        <v>232</v>
      </c>
      <c r="AH79">
        <f t="shared" si="3"/>
        <v>999</v>
      </c>
      <c r="AI79" s="2" t="s">
        <v>8</v>
      </c>
    </row>
    <row r="80" spans="1:35" x14ac:dyDescent="0.3">
      <c r="A80" s="2" t="s">
        <v>12</v>
      </c>
      <c r="D80">
        <v>347</v>
      </c>
      <c r="AC80">
        <v>50</v>
      </c>
      <c r="AE80">
        <v>642</v>
      </c>
      <c r="AH80">
        <f t="shared" si="3"/>
        <v>1039</v>
      </c>
      <c r="AI80" s="2" t="s">
        <v>12</v>
      </c>
    </row>
    <row r="81" spans="1:36" hidden="1" x14ac:dyDescent="0.3">
      <c r="A81" s="2" t="s">
        <v>31</v>
      </c>
      <c r="B81">
        <v>10768</v>
      </c>
      <c r="O81">
        <v>1100</v>
      </c>
      <c r="AH81">
        <f t="shared" si="3"/>
        <v>11868</v>
      </c>
      <c r="AI81" s="2" t="s">
        <v>31</v>
      </c>
    </row>
    <row r="82" spans="1:36" hidden="1" x14ac:dyDescent="0.3">
      <c r="A82" s="2" t="s">
        <v>4</v>
      </c>
      <c r="D82">
        <v>20</v>
      </c>
      <c r="W82">
        <v>15</v>
      </c>
      <c r="AH82">
        <f t="shared" si="3"/>
        <v>35</v>
      </c>
      <c r="AI82" s="2" t="s">
        <v>4</v>
      </c>
    </row>
    <row r="83" spans="1:36" hidden="1" x14ac:dyDescent="0.3">
      <c r="A83" s="2" t="s">
        <v>89</v>
      </c>
      <c r="C83">
        <v>109</v>
      </c>
      <c r="D83">
        <v>484</v>
      </c>
      <c r="E83">
        <v>100</v>
      </c>
      <c r="F83">
        <v>150</v>
      </c>
      <c r="N83">
        <v>60</v>
      </c>
      <c r="O83" s="17">
        <v>70</v>
      </c>
      <c r="R83">
        <v>384</v>
      </c>
      <c r="S83">
        <v>10</v>
      </c>
      <c r="AA83">
        <v>870.5</v>
      </c>
      <c r="AB83">
        <v>1280</v>
      </c>
      <c r="AE83">
        <v>253.11</v>
      </c>
      <c r="AH83">
        <f t="shared" si="3"/>
        <v>3770.61</v>
      </c>
      <c r="AI83" s="2" t="s">
        <v>89</v>
      </c>
    </row>
    <row r="84" spans="1:36" hidden="1" x14ac:dyDescent="0.3">
      <c r="Q84" s="6">
        <f>SUM(B64:AE82)</f>
        <v>29480.200000000004</v>
      </c>
      <c r="AJ84">
        <f>SUM(AJ62,Q84)</f>
        <v>88092.959999999992</v>
      </c>
    </row>
    <row r="85" spans="1:36" hidden="1" x14ac:dyDescent="0.3">
      <c r="B85" s="1">
        <v>45778</v>
      </c>
      <c r="C85" s="1">
        <v>45779</v>
      </c>
      <c r="D85" s="1">
        <v>45780</v>
      </c>
      <c r="E85" s="1">
        <v>45781</v>
      </c>
      <c r="F85" s="1">
        <v>45782</v>
      </c>
      <c r="G85" s="1">
        <v>45783</v>
      </c>
      <c r="H85" s="1">
        <v>45784</v>
      </c>
      <c r="I85" s="1">
        <v>45785</v>
      </c>
      <c r="J85" s="1">
        <v>45786</v>
      </c>
      <c r="K85" s="1">
        <v>45787</v>
      </c>
      <c r="L85" s="1">
        <v>45788</v>
      </c>
      <c r="M85" s="1">
        <v>45789</v>
      </c>
      <c r="N85" s="1">
        <v>45790</v>
      </c>
      <c r="O85" s="1">
        <v>45791</v>
      </c>
      <c r="P85" s="1">
        <v>45792</v>
      </c>
      <c r="Q85" s="1">
        <v>45793</v>
      </c>
      <c r="R85" s="1">
        <v>45794</v>
      </c>
      <c r="S85" s="1">
        <v>45795</v>
      </c>
      <c r="T85" s="1">
        <v>45796</v>
      </c>
      <c r="U85" s="1">
        <v>45797</v>
      </c>
      <c r="V85" s="1">
        <v>45798</v>
      </c>
      <c r="W85" s="1">
        <v>45799</v>
      </c>
      <c r="X85" s="1">
        <v>45800</v>
      </c>
      <c r="Y85" s="1">
        <v>45801</v>
      </c>
      <c r="Z85" s="1">
        <v>45802</v>
      </c>
      <c r="AA85" s="1">
        <v>45803</v>
      </c>
      <c r="AB85" s="1">
        <v>45804</v>
      </c>
      <c r="AC85" s="1">
        <v>45805</v>
      </c>
      <c r="AD85" s="1">
        <v>45806</v>
      </c>
      <c r="AE85" s="1">
        <v>45807</v>
      </c>
      <c r="AF85" s="1">
        <v>45808</v>
      </c>
    </row>
    <row r="86" spans="1:36" hidden="1" x14ac:dyDescent="0.3">
      <c r="A86" s="2" t="s">
        <v>5</v>
      </c>
      <c r="B86">
        <v>52</v>
      </c>
      <c r="C86">
        <v>13</v>
      </c>
      <c r="D86">
        <v>40</v>
      </c>
      <c r="E86">
        <v>27</v>
      </c>
      <c r="F86">
        <v>27</v>
      </c>
      <c r="H86">
        <v>27</v>
      </c>
      <c r="I86">
        <v>41</v>
      </c>
      <c r="J86">
        <v>13</v>
      </c>
      <c r="K86">
        <v>40</v>
      </c>
      <c r="L86">
        <v>0</v>
      </c>
      <c r="M86">
        <v>40</v>
      </c>
      <c r="N86">
        <v>26</v>
      </c>
      <c r="O86">
        <v>24</v>
      </c>
      <c r="P86">
        <v>27</v>
      </c>
      <c r="Q86">
        <v>27</v>
      </c>
      <c r="S86">
        <v>40</v>
      </c>
      <c r="U86">
        <v>27</v>
      </c>
      <c r="V86">
        <v>40</v>
      </c>
      <c r="W86">
        <v>27</v>
      </c>
      <c r="X86">
        <v>27</v>
      </c>
      <c r="Y86">
        <v>27</v>
      </c>
      <c r="Z86">
        <v>27</v>
      </c>
      <c r="AA86">
        <v>27</v>
      </c>
      <c r="AB86">
        <v>27</v>
      </c>
      <c r="AC86">
        <v>40</v>
      </c>
      <c r="AD86">
        <v>40</v>
      </c>
      <c r="AH86">
        <f>SUM(B86:AF86)</f>
        <v>773</v>
      </c>
      <c r="AI86" s="2" t="s">
        <v>5</v>
      </c>
    </row>
    <row r="87" spans="1:36" hidden="1" x14ac:dyDescent="0.3">
      <c r="A87" s="2" t="s">
        <v>14</v>
      </c>
      <c r="F87">
        <v>5</v>
      </c>
      <c r="K87">
        <v>5</v>
      </c>
      <c r="Y87">
        <v>5</v>
      </c>
      <c r="AH87">
        <f>SUM(B87:AF87)</f>
        <v>15</v>
      </c>
      <c r="AI87" s="2" t="s">
        <v>91</v>
      </c>
    </row>
    <row r="88" spans="1:36" hidden="1" x14ac:dyDescent="0.3">
      <c r="A88" s="2" t="s">
        <v>0</v>
      </c>
      <c r="C88">
        <v>200</v>
      </c>
      <c r="K88">
        <v>300</v>
      </c>
      <c r="S88">
        <v>1000</v>
      </c>
      <c r="Z88" s="5">
        <v>200</v>
      </c>
      <c r="AF88">
        <v>1010</v>
      </c>
      <c r="AH88">
        <f>SUM(B88:AF88)</f>
        <v>2710</v>
      </c>
      <c r="AI88" s="2" t="s">
        <v>0</v>
      </c>
    </row>
    <row r="89" spans="1:36" hidden="1" x14ac:dyDescent="0.3">
      <c r="A89" s="2" t="s">
        <v>16</v>
      </c>
      <c r="B89">
        <v>38</v>
      </c>
      <c r="D89">
        <v>10</v>
      </c>
      <c r="E89">
        <v>180</v>
      </c>
      <c r="F89">
        <v>54</v>
      </c>
      <c r="P89">
        <v>40</v>
      </c>
      <c r="S89">
        <v>120</v>
      </c>
      <c r="V89">
        <v>30</v>
      </c>
      <c r="W89">
        <v>343</v>
      </c>
      <c r="AB89">
        <v>44</v>
      </c>
      <c r="AC89">
        <v>210</v>
      </c>
      <c r="AH89">
        <f t="shared" ref="AH89:AH102" si="4">SUM(B89:AF89)</f>
        <v>1069</v>
      </c>
      <c r="AI89" s="2" t="s">
        <v>16</v>
      </c>
    </row>
    <row r="90" spans="1:36" hidden="1" x14ac:dyDescent="0.3">
      <c r="A90" s="2" t="s">
        <v>34</v>
      </c>
      <c r="B90">
        <v>99</v>
      </c>
      <c r="AH90">
        <f t="shared" si="4"/>
        <v>99</v>
      </c>
      <c r="AI90" s="2" t="s">
        <v>34</v>
      </c>
    </row>
    <row r="91" spans="1:36" hidden="1" x14ac:dyDescent="0.3">
      <c r="A91" s="2" t="s">
        <v>18</v>
      </c>
      <c r="B91">
        <v>69</v>
      </c>
      <c r="C91">
        <v>40</v>
      </c>
      <c r="G91">
        <v>289</v>
      </c>
      <c r="H91">
        <v>379</v>
      </c>
      <c r="R91">
        <v>730.87</v>
      </c>
      <c r="W91">
        <v>258.66000000000003</v>
      </c>
      <c r="X91">
        <v>361.62</v>
      </c>
      <c r="AD91">
        <v>220</v>
      </c>
      <c r="AH91">
        <f t="shared" si="4"/>
        <v>2348.15</v>
      </c>
      <c r="AI91" s="2" t="s">
        <v>18</v>
      </c>
    </row>
    <row r="92" spans="1:36" hidden="1" x14ac:dyDescent="0.3">
      <c r="A92" s="2" t="s">
        <v>2</v>
      </c>
      <c r="B92">
        <v>134</v>
      </c>
      <c r="E92">
        <v>170</v>
      </c>
      <c r="G92">
        <v>147</v>
      </c>
      <c r="K92">
        <v>50</v>
      </c>
      <c r="O92">
        <v>23</v>
      </c>
      <c r="Q92">
        <v>40</v>
      </c>
      <c r="R92">
        <v>25</v>
      </c>
      <c r="S92">
        <v>190</v>
      </c>
      <c r="V92">
        <v>73</v>
      </c>
      <c r="W92">
        <v>150</v>
      </c>
      <c r="AB92">
        <v>68</v>
      </c>
      <c r="AC92">
        <v>350</v>
      </c>
      <c r="AF92">
        <v>150</v>
      </c>
      <c r="AH92">
        <f t="shared" si="4"/>
        <v>1570</v>
      </c>
      <c r="AI92" s="2" t="s">
        <v>2</v>
      </c>
    </row>
    <row r="93" spans="1:36" hidden="1" x14ac:dyDescent="0.3">
      <c r="A93" s="2" t="s">
        <v>19</v>
      </c>
      <c r="D93">
        <v>224</v>
      </c>
      <c r="G93">
        <v>5</v>
      </c>
      <c r="K93">
        <v>20</v>
      </c>
      <c r="L93">
        <v>140</v>
      </c>
      <c r="O93">
        <v>65</v>
      </c>
      <c r="Q93">
        <v>20</v>
      </c>
      <c r="S93">
        <v>420</v>
      </c>
      <c r="T93">
        <v>60</v>
      </c>
      <c r="W93">
        <v>100</v>
      </c>
      <c r="X93">
        <v>71.25</v>
      </c>
      <c r="AA93">
        <v>45</v>
      </c>
      <c r="AB93">
        <v>30</v>
      </c>
      <c r="AE93">
        <v>20</v>
      </c>
      <c r="AF93">
        <v>100</v>
      </c>
      <c r="AH93">
        <f t="shared" si="4"/>
        <v>1320.25</v>
      </c>
      <c r="AI93" s="2" t="s">
        <v>19</v>
      </c>
    </row>
    <row r="94" spans="1:36" hidden="1" x14ac:dyDescent="0.3">
      <c r="A94" s="2" t="s">
        <v>7</v>
      </c>
      <c r="J94">
        <v>50</v>
      </c>
      <c r="K94">
        <v>80</v>
      </c>
      <c r="U94">
        <v>30</v>
      </c>
      <c r="W94">
        <v>130</v>
      </c>
      <c r="AH94">
        <f t="shared" si="4"/>
        <v>290</v>
      </c>
      <c r="AI94" s="2" t="s">
        <v>7</v>
      </c>
    </row>
    <row r="95" spans="1:36" hidden="1" x14ac:dyDescent="0.3">
      <c r="A95" s="2" t="s">
        <v>15</v>
      </c>
      <c r="K95">
        <v>383</v>
      </c>
      <c r="L95">
        <v>458</v>
      </c>
      <c r="M95">
        <v>256</v>
      </c>
      <c r="N95">
        <v>382</v>
      </c>
      <c r="O95">
        <v>220</v>
      </c>
      <c r="AH95">
        <f t="shared" si="4"/>
        <v>1699</v>
      </c>
      <c r="AI95" s="2" t="s">
        <v>15</v>
      </c>
    </row>
    <row r="96" spans="1:36" hidden="1" x14ac:dyDescent="0.3">
      <c r="A96" s="2" t="s">
        <v>13</v>
      </c>
      <c r="P96">
        <v>277</v>
      </c>
      <c r="AH96">
        <f t="shared" si="4"/>
        <v>277</v>
      </c>
      <c r="AI96" s="2" t="s">
        <v>13</v>
      </c>
    </row>
    <row r="97" spans="1:36" hidden="1" x14ac:dyDescent="0.3">
      <c r="A97" s="2" t="s">
        <v>17</v>
      </c>
      <c r="K97" s="3"/>
      <c r="L97" s="3"/>
      <c r="M97" s="3"/>
      <c r="N97" s="3"/>
      <c r="O97" s="3"/>
      <c r="P97">
        <v>1179</v>
      </c>
      <c r="AH97">
        <f t="shared" si="4"/>
        <v>1179</v>
      </c>
      <c r="AI97" s="2" t="s">
        <v>17</v>
      </c>
    </row>
    <row r="98" spans="1:36" hidden="1" x14ac:dyDescent="0.3">
      <c r="A98" s="2" t="s">
        <v>30</v>
      </c>
      <c r="S98">
        <v>60</v>
      </c>
      <c r="AF98">
        <v>60</v>
      </c>
      <c r="AH98">
        <f t="shared" si="4"/>
        <v>120</v>
      </c>
      <c r="AI98" s="2" t="s">
        <v>30</v>
      </c>
    </row>
    <row r="99" spans="1:36" hidden="1" x14ac:dyDescent="0.3">
      <c r="A99" s="2" t="s">
        <v>20</v>
      </c>
      <c r="Q99">
        <v>155</v>
      </c>
      <c r="AB99">
        <v>711</v>
      </c>
      <c r="AH99">
        <f t="shared" si="4"/>
        <v>866</v>
      </c>
      <c r="AI99" s="2" t="s">
        <v>20</v>
      </c>
    </row>
    <row r="100" spans="1:36" hidden="1" x14ac:dyDescent="0.3">
      <c r="A100" s="2" t="s">
        <v>8</v>
      </c>
      <c r="W100">
        <v>50</v>
      </c>
      <c r="AC100">
        <v>50</v>
      </c>
      <c r="AH100">
        <f t="shared" si="4"/>
        <v>100</v>
      </c>
      <c r="AI100" s="2" t="s">
        <v>8</v>
      </c>
    </row>
    <row r="101" spans="1:36" x14ac:dyDescent="0.3">
      <c r="A101" s="2" t="s">
        <v>12</v>
      </c>
      <c r="B101">
        <v>6</v>
      </c>
      <c r="C101">
        <v>53105</v>
      </c>
      <c r="D101">
        <v>10000</v>
      </c>
      <c r="P101">
        <v>165</v>
      </c>
      <c r="T101">
        <v>1100</v>
      </c>
      <c r="X101">
        <v>567</v>
      </c>
      <c r="Z101">
        <v>1</v>
      </c>
      <c r="AB101">
        <v>1110</v>
      </c>
      <c r="AE101">
        <v>1850</v>
      </c>
      <c r="AH101">
        <f t="shared" si="4"/>
        <v>67904</v>
      </c>
      <c r="AI101" s="2" t="s">
        <v>12</v>
      </c>
    </row>
    <row r="102" spans="1:36" hidden="1" x14ac:dyDescent="0.3">
      <c r="A102" s="2" t="s">
        <v>31</v>
      </c>
      <c r="AF102">
        <v>100</v>
      </c>
      <c r="AH102">
        <f t="shared" si="4"/>
        <v>100</v>
      </c>
      <c r="AI102" s="2" t="s">
        <v>31</v>
      </c>
    </row>
    <row r="103" spans="1:36" hidden="1" x14ac:dyDescent="0.3">
      <c r="A103" s="2" t="s">
        <v>92</v>
      </c>
      <c r="AF103">
        <v>300</v>
      </c>
      <c r="AH103">
        <f>SUM(B103:AF103)</f>
        <v>300</v>
      </c>
      <c r="AI103" s="2" t="s">
        <v>92</v>
      </c>
    </row>
    <row r="104" spans="1:36" hidden="1" x14ac:dyDescent="0.3">
      <c r="A104" s="2" t="s">
        <v>4</v>
      </c>
      <c r="W104">
        <v>45</v>
      </c>
      <c r="AB104">
        <v>18285</v>
      </c>
      <c r="AH104">
        <f>SUM(B104:AF104)</f>
        <v>18330</v>
      </c>
      <c r="AI104" s="2" t="s">
        <v>4</v>
      </c>
    </row>
    <row r="105" spans="1:36" hidden="1" x14ac:dyDescent="0.3">
      <c r="A105" s="2" t="s">
        <v>89</v>
      </c>
      <c r="M105">
        <v>158</v>
      </c>
      <c r="P105">
        <v>107</v>
      </c>
      <c r="Q105">
        <v>120</v>
      </c>
      <c r="R105">
        <v>360</v>
      </c>
      <c r="AH105">
        <f>SUM(B105:AF105)</f>
        <v>745</v>
      </c>
      <c r="AI105" s="2" t="s">
        <v>89</v>
      </c>
    </row>
    <row r="106" spans="1:36" hidden="1" x14ac:dyDescent="0.3">
      <c r="Q106" s="6">
        <f>SUM(B86:AF104)</f>
        <v>101069.4</v>
      </c>
      <c r="R106">
        <v>-66054</v>
      </c>
      <c r="S106">
        <v>-18285</v>
      </c>
      <c r="AJ106">
        <f>SUM(AJ84,Q106)</f>
        <v>189162.36</v>
      </c>
    </row>
    <row r="107" spans="1:36" hidden="1" x14ac:dyDescent="0.3">
      <c r="B107" s="1">
        <v>45809</v>
      </c>
      <c r="C107" s="1">
        <v>45810</v>
      </c>
      <c r="D107" s="1">
        <v>45811</v>
      </c>
      <c r="E107" s="1">
        <v>45812</v>
      </c>
      <c r="F107" s="1">
        <v>45813</v>
      </c>
      <c r="G107" s="1">
        <v>45814</v>
      </c>
      <c r="H107" s="1">
        <v>45815</v>
      </c>
      <c r="I107" s="1">
        <v>45816</v>
      </c>
      <c r="J107" s="1">
        <v>45817</v>
      </c>
      <c r="K107" s="1">
        <v>45818</v>
      </c>
      <c r="L107" s="1">
        <v>45819</v>
      </c>
      <c r="M107" s="1">
        <v>45820</v>
      </c>
      <c r="N107" s="1">
        <v>45821</v>
      </c>
      <c r="O107" s="1">
        <v>45822</v>
      </c>
      <c r="P107" s="1">
        <v>45823</v>
      </c>
      <c r="Q107" s="1">
        <v>45824</v>
      </c>
      <c r="R107" s="1">
        <v>45825</v>
      </c>
      <c r="S107" s="1">
        <v>45826</v>
      </c>
      <c r="T107" s="1">
        <v>45827</v>
      </c>
      <c r="U107" s="1">
        <v>45828</v>
      </c>
      <c r="V107" s="1">
        <v>45829</v>
      </c>
      <c r="W107" s="1">
        <v>45830</v>
      </c>
      <c r="X107" s="1">
        <v>45831</v>
      </c>
      <c r="Y107" s="1">
        <v>45832</v>
      </c>
      <c r="Z107" s="1">
        <v>45833</v>
      </c>
      <c r="AA107" s="1">
        <v>45834</v>
      </c>
      <c r="AB107" s="1">
        <v>45835</v>
      </c>
      <c r="AC107" s="1">
        <v>45836</v>
      </c>
      <c r="AD107" s="1">
        <v>45837</v>
      </c>
      <c r="AE107" s="1">
        <v>45838</v>
      </c>
    </row>
    <row r="108" spans="1:36" hidden="1" x14ac:dyDescent="0.3">
      <c r="A108" s="2" t="s">
        <v>5</v>
      </c>
      <c r="B108">
        <v>40</v>
      </c>
      <c r="C108">
        <v>27</v>
      </c>
      <c r="D108">
        <v>27</v>
      </c>
      <c r="E108">
        <v>27</v>
      </c>
      <c r="F108">
        <v>40</v>
      </c>
      <c r="G108">
        <v>27</v>
      </c>
      <c r="I108">
        <v>40</v>
      </c>
      <c r="J108">
        <v>27</v>
      </c>
      <c r="K108">
        <v>26</v>
      </c>
      <c r="L108">
        <v>40</v>
      </c>
      <c r="M108">
        <v>27</v>
      </c>
      <c r="N108">
        <v>0</v>
      </c>
      <c r="O108">
        <v>40</v>
      </c>
      <c r="P108">
        <v>27</v>
      </c>
      <c r="Q108">
        <v>26</v>
      </c>
      <c r="R108">
        <v>27</v>
      </c>
      <c r="S108">
        <v>27</v>
      </c>
      <c r="T108">
        <v>27</v>
      </c>
      <c r="U108">
        <v>27</v>
      </c>
      <c r="V108">
        <v>40</v>
      </c>
      <c r="W108">
        <v>0</v>
      </c>
      <c r="X108">
        <v>40</v>
      </c>
      <c r="Y108">
        <v>27</v>
      </c>
      <c r="Z108">
        <v>27</v>
      </c>
      <c r="AA108">
        <v>27</v>
      </c>
      <c r="AB108">
        <v>27</v>
      </c>
      <c r="AC108">
        <v>0</v>
      </c>
      <c r="AD108">
        <v>55</v>
      </c>
      <c r="AE108">
        <v>24</v>
      </c>
      <c r="AH108">
        <f>SUM(B108:AE108)</f>
        <v>816</v>
      </c>
      <c r="AI108" s="2" t="s">
        <v>5</v>
      </c>
    </row>
    <row r="109" spans="1:36" hidden="1" x14ac:dyDescent="0.3">
      <c r="A109" s="2" t="s">
        <v>91</v>
      </c>
      <c r="H109">
        <v>5</v>
      </c>
      <c r="O109">
        <v>5</v>
      </c>
      <c r="V109">
        <v>5</v>
      </c>
      <c r="AH109">
        <f>SUM(B109:AE109)</f>
        <v>15</v>
      </c>
      <c r="AI109" s="2" t="s">
        <v>91</v>
      </c>
    </row>
    <row r="110" spans="1:36" hidden="1" x14ac:dyDescent="0.3">
      <c r="A110" s="2" t="s">
        <v>0</v>
      </c>
      <c r="B110">
        <v>200</v>
      </c>
      <c r="I110">
        <v>1000</v>
      </c>
      <c r="J110" s="5">
        <v>200</v>
      </c>
      <c r="U110">
        <v>1000</v>
      </c>
      <c r="W110">
        <v>200</v>
      </c>
      <c r="Y110" s="5">
        <v>200</v>
      </c>
      <c r="AH110">
        <f t="shared" ref="AH110:AH127" si="5">SUM(B110:AE110)</f>
        <v>2800</v>
      </c>
      <c r="AI110" s="2" t="s">
        <v>0</v>
      </c>
    </row>
    <row r="111" spans="1:36" hidden="1" x14ac:dyDescent="0.3">
      <c r="A111" s="2" t="s">
        <v>16</v>
      </c>
      <c r="B111">
        <v>102</v>
      </c>
      <c r="C111">
        <v>18</v>
      </c>
      <c r="E111">
        <v>50</v>
      </c>
      <c r="G111">
        <v>60</v>
      </c>
      <c r="H111">
        <v>26.39</v>
      </c>
      <c r="J111">
        <v>20</v>
      </c>
      <c r="M111">
        <v>20</v>
      </c>
      <c r="P111">
        <v>400</v>
      </c>
      <c r="Q111">
        <v>80</v>
      </c>
      <c r="T111">
        <v>17</v>
      </c>
      <c r="U111">
        <v>40</v>
      </c>
      <c r="W111">
        <v>72.7</v>
      </c>
      <c r="Y111">
        <v>120</v>
      </c>
      <c r="AA111">
        <v>60</v>
      </c>
      <c r="AC111">
        <v>400</v>
      </c>
      <c r="AH111">
        <f t="shared" si="5"/>
        <v>1486.0900000000001</v>
      </c>
      <c r="AI111" s="2" t="s">
        <v>16</v>
      </c>
    </row>
    <row r="112" spans="1:36" hidden="1" x14ac:dyDescent="0.3">
      <c r="A112" s="2" t="s">
        <v>34</v>
      </c>
      <c r="E112">
        <v>594</v>
      </c>
      <c r="O112">
        <v>45</v>
      </c>
      <c r="W112">
        <v>420</v>
      </c>
      <c r="X112">
        <v>225</v>
      </c>
      <c r="AH112">
        <f t="shared" si="5"/>
        <v>1284</v>
      </c>
      <c r="AI112" s="2" t="s">
        <v>34</v>
      </c>
    </row>
    <row r="113" spans="1:36" hidden="1" x14ac:dyDescent="0.3">
      <c r="A113" s="2" t="s">
        <v>18</v>
      </c>
      <c r="E113">
        <v>216.5</v>
      </c>
      <c r="H113">
        <v>1240.8800000000001</v>
      </c>
      <c r="M113">
        <v>45</v>
      </c>
      <c r="O113">
        <v>60</v>
      </c>
      <c r="S113">
        <v>286</v>
      </c>
      <c r="W113">
        <v>910.55</v>
      </c>
      <c r="X113">
        <v>334</v>
      </c>
      <c r="AH113">
        <f t="shared" si="5"/>
        <v>3092.9300000000003</v>
      </c>
      <c r="AI113" s="2" t="s">
        <v>18</v>
      </c>
    </row>
    <row r="114" spans="1:36" hidden="1" x14ac:dyDescent="0.3">
      <c r="A114" s="2" t="s">
        <v>2</v>
      </c>
      <c r="B114">
        <v>40</v>
      </c>
      <c r="D114">
        <v>40</v>
      </c>
      <c r="E114">
        <v>32</v>
      </c>
      <c r="H114">
        <v>30</v>
      </c>
      <c r="I114">
        <v>120</v>
      </c>
      <c r="J114">
        <v>50</v>
      </c>
      <c r="P114">
        <v>240</v>
      </c>
      <c r="U114">
        <v>40</v>
      </c>
      <c r="W114">
        <v>250</v>
      </c>
      <c r="Y114">
        <v>80</v>
      </c>
      <c r="AH114">
        <f t="shared" si="5"/>
        <v>922</v>
      </c>
      <c r="AI114" s="2" t="s">
        <v>2</v>
      </c>
    </row>
    <row r="115" spans="1:36" hidden="1" x14ac:dyDescent="0.3">
      <c r="A115" s="2" t="s">
        <v>19</v>
      </c>
      <c r="E115">
        <v>25</v>
      </c>
      <c r="G115">
        <v>30</v>
      </c>
      <c r="H115">
        <v>65</v>
      </c>
      <c r="K115">
        <v>70</v>
      </c>
      <c r="M115">
        <v>10</v>
      </c>
      <c r="P115">
        <v>70</v>
      </c>
      <c r="S115">
        <v>65</v>
      </c>
      <c r="U115">
        <v>30</v>
      </c>
      <c r="V115">
        <v>15</v>
      </c>
      <c r="W115">
        <v>53.5</v>
      </c>
      <c r="AC115">
        <v>30</v>
      </c>
      <c r="AD115">
        <v>110</v>
      </c>
      <c r="AH115">
        <f t="shared" si="5"/>
        <v>573.5</v>
      </c>
      <c r="AI115" s="2" t="s">
        <v>19</v>
      </c>
    </row>
    <row r="116" spans="1:36" hidden="1" x14ac:dyDescent="0.3">
      <c r="A116" s="2" t="s">
        <v>7</v>
      </c>
      <c r="B116">
        <v>30</v>
      </c>
      <c r="H116">
        <v>20</v>
      </c>
      <c r="L116">
        <v>20</v>
      </c>
      <c r="O116">
        <v>30</v>
      </c>
      <c r="P116">
        <v>50</v>
      </c>
      <c r="U116">
        <v>150</v>
      </c>
      <c r="W116">
        <v>30</v>
      </c>
      <c r="AH116">
        <f t="shared" si="5"/>
        <v>330</v>
      </c>
      <c r="AI116" s="2" t="s">
        <v>7</v>
      </c>
    </row>
    <row r="117" spans="1:36" hidden="1" x14ac:dyDescent="0.3">
      <c r="A117" s="2" t="s">
        <v>15</v>
      </c>
      <c r="K117">
        <v>451</v>
      </c>
      <c r="L117">
        <v>146</v>
      </c>
      <c r="M117">
        <v>313</v>
      </c>
      <c r="N117">
        <v>92</v>
      </c>
      <c r="AH117">
        <f t="shared" si="5"/>
        <v>1002</v>
      </c>
      <c r="AI117" s="2" t="s">
        <v>15</v>
      </c>
    </row>
    <row r="118" spans="1:36" hidden="1" x14ac:dyDescent="0.3">
      <c r="A118" s="2" t="s">
        <v>13</v>
      </c>
      <c r="P118">
        <v>238</v>
      </c>
      <c r="AH118">
        <f t="shared" si="5"/>
        <v>238</v>
      </c>
      <c r="AI118" s="2" t="s">
        <v>13</v>
      </c>
    </row>
    <row r="119" spans="1:36" hidden="1" x14ac:dyDescent="0.3">
      <c r="A119" s="2" t="s">
        <v>17</v>
      </c>
      <c r="P119">
        <v>1179</v>
      </c>
      <c r="AH119">
        <f t="shared" si="5"/>
        <v>1179</v>
      </c>
      <c r="AI119" s="2" t="s">
        <v>17</v>
      </c>
    </row>
    <row r="120" spans="1:36" hidden="1" x14ac:dyDescent="0.3">
      <c r="A120" s="2" t="s">
        <v>30</v>
      </c>
      <c r="I120">
        <v>175</v>
      </c>
      <c r="U120">
        <v>60</v>
      </c>
      <c r="W120">
        <v>20</v>
      </c>
      <c r="AC120">
        <v>1564</v>
      </c>
      <c r="AD120">
        <v>340</v>
      </c>
      <c r="AH120">
        <f t="shared" si="5"/>
        <v>2159</v>
      </c>
      <c r="AI120" s="2" t="s">
        <v>30</v>
      </c>
    </row>
    <row r="121" spans="1:36" hidden="1" x14ac:dyDescent="0.3">
      <c r="A121" s="2" t="s">
        <v>20</v>
      </c>
      <c r="F121">
        <v>180</v>
      </c>
      <c r="G121">
        <v>120</v>
      </c>
      <c r="J121">
        <v>20</v>
      </c>
      <c r="N121">
        <v>120</v>
      </c>
      <c r="R121">
        <v>120</v>
      </c>
      <c r="AB121">
        <v>185</v>
      </c>
      <c r="AC121">
        <v>40</v>
      </c>
      <c r="AH121">
        <f t="shared" si="5"/>
        <v>785</v>
      </c>
      <c r="AI121" s="2" t="s">
        <v>20</v>
      </c>
    </row>
    <row r="122" spans="1:36" hidden="1" x14ac:dyDescent="0.3">
      <c r="A122" s="2" t="s">
        <v>8</v>
      </c>
      <c r="AC122">
        <v>50</v>
      </c>
      <c r="AH122">
        <f t="shared" si="5"/>
        <v>50</v>
      </c>
      <c r="AI122" s="2" t="s">
        <v>8</v>
      </c>
    </row>
    <row r="123" spans="1:36" x14ac:dyDescent="0.3">
      <c r="A123" s="2" t="s">
        <v>12</v>
      </c>
      <c r="D123">
        <v>875</v>
      </c>
      <c r="H123">
        <v>290</v>
      </c>
      <c r="N123">
        <v>250</v>
      </c>
      <c r="O123">
        <v>100</v>
      </c>
      <c r="P123">
        <v>830</v>
      </c>
      <c r="AA123">
        <v>50</v>
      </c>
      <c r="AC123">
        <v>10</v>
      </c>
      <c r="AH123">
        <f t="shared" si="5"/>
        <v>2405</v>
      </c>
      <c r="AI123" s="2" t="s">
        <v>12</v>
      </c>
    </row>
    <row r="124" spans="1:36" hidden="1" x14ac:dyDescent="0.3">
      <c r="A124" s="2" t="s">
        <v>31</v>
      </c>
      <c r="I124">
        <v>170</v>
      </c>
      <c r="AH124">
        <f t="shared" si="5"/>
        <v>170</v>
      </c>
      <c r="AI124" s="2" t="s">
        <v>31</v>
      </c>
    </row>
    <row r="125" spans="1:36" hidden="1" x14ac:dyDescent="0.3">
      <c r="A125" s="2" t="s">
        <v>92</v>
      </c>
      <c r="I125">
        <v>155</v>
      </c>
      <c r="AH125">
        <f t="shared" si="5"/>
        <v>155</v>
      </c>
      <c r="AI125" s="2" t="s">
        <v>92</v>
      </c>
    </row>
    <row r="126" spans="1:36" hidden="1" x14ac:dyDescent="0.3">
      <c r="A126" s="2" t="s">
        <v>4</v>
      </c>
      <c r="L126">
        <v>50</v>
      </c>
      <c r="X126">
        <v>20</v>
      </c>
      <c r="AC126">
        <v>30</v>
      </c>
      <c r="AH126">
        <f t="shared" si="5"/>
        <v>100</v>
      </c>
      <c r="AI126" s="2" t="s">
        <v>4</v>
      </c>
    </row>
    <row r="127" spans="1:36" hidden="1" x14ac:dyDescent="0.3">
      <c r="A127" s="2" t="s">
        <v>89</v>
      </c>
      <c r="B127" s="13">
        <v>435</v>
      </c>
      <c r="D127" s="13">
        <v>400</v>
      </c>
      <c r="E127" s="13">
        <v>192</v>
      </c>
      <c r="F127" s="13">
        <v>3008</v>
      </c>
      <c r="I127" s="13">
        <v>309</v>
      </c>
      <c r="M127" s="13">
        <v>176</v>
      </c>
      <c r="O127" s="13">
        <v>40</v>
      </c>
      <c r="P127" s="13">
        <v>800</v>
      </c>
      <c r="T127" s="13">
        <v>202</v>
      </c>
      <c r="W127" s="13">
        <v>268</v>
      </c>
      <c r="AB127" s="13">
        <v>26</v>
      </c>
      <c r="AH127">
        <f t="shared" si="5"/>
        <v>5856</v>
      </c>
      <c r="AI127" s="2" t="s">
        <v>89</v>
      </c>
    </row>
    <row r="128" spans="1:36" hidden="1" x14ac:dyDescent="0.3">
      <c r="Q128" s="6">
        <f>SUM(B108:AE126)</f>
        <v>19562.519999999997</v>
      </c>
      <c r="AJ128">
        <f>SUM(Q128,AJ106)</f>
        <v>208724.87999999998</v>
      </c>
    </row>
    <row r="129" spans="1:35" hidden="1" x14ac:dyDescent="0.3">
      <c r="B129" s="1">
        <v>45839</v>
      </c>
      <c r="C129" s="1">
        <v>45840</v>
      </c>
      <c r="D129" s="1">
        <v>45841</v>
      </c>
      <c r="E129" s="1">
        <v>45842</v>
      </c>
      <c r="F129" s="1">
        <v>45843</v>
      </c>
      <c r="G129" s="1">
        <v>45844</v>
      </c>
      <c r="H129" s="1">
        <v>45845</v>
      </c>
      <c r="I129" s="1">
        <v>45846</v>
      </c>
      <c r="J129" s="1">
        <v>45847</v>
      </c>
      <c r="K129" s="1">
        <v>45848</v>
      </c>
      <c r="L129" s="1">
        <v>45849</v>
      </c>
      <c r="M129" s="1">
        <v>45850</v>
      </c>
      <c r="N129" s="1">
        <v>45851</v>
      </c>
      <c r="O129" s="1">
        <v>45852</v>
      </c>
      <c r="P129" s="1">
        <v>45853</v>
      </c>
      <c r="Q129" s="1">
        <v>45854</v>
      </c>
      <c r="R129" s="1">
        <v>45855</v>
      </c>
      <c r="S129" s="1">
        <v>45856</v>
      </c>
      <c r="T129" s="1">
        <v>45857</v>
      </c>
      <c r="U129" s="1">
        <v>45858</v>
      </c>
      <c r="V129" s="1">
        <v>45859</v>
      </c>
      <c r="W129" s="1">
        <v>45860</v>
      </c>
      <c r="X129" s="1">
        <v>45861</v>
      </c>
      <c r="Y129" s="1">
        <v>45862</v>
      </c>
      <c r="Z129" s="1">
        <v>45863</v>
      </c>
      <c r="AA129" s="1">
        <v>45864</v>
      </c>
      <c r="AB129" s="1">
        <v>45865</v>
      </c>
      <c r="AC129" s="1">
        <v>45866</v>
      </c>
      <c r="AD129" s="1">
        <v>45867</v>
      </c>
      <c r="AE129" s="1">
        <v>45868</v>
      </c>
      <c r="AF129" s="1">
        <v>45869</v>
      </c>
    </row>
    <row r="130" spans="1:35" hidden="1" x14ac:dyDescent="0.3">
      <c r="A130" s="2" t="s">
        <v>5</v>
      </c>
      <c r="B130">
        <v>40</v>
      </c>
      <c r="C130">
        <v>40</v>
      </c>
      <c r="D130">
        <v>27</v>
      </c>
      <c r="E130">
        <v>13</v>
      </c>
      <c r="F130">
        <v>27</v>
      </c>
      <c r="G130">
        <v>40</v>
      </c>
      <c r="H130">
        <v>27</v>
      </c>
      <c r="I130">
        <v>27</v>
      </c>
      <c r="J130">
        <v>27</v>
      </c>
      <c r="K130">
        <v>27</v>
      </c>
      <c r="L130">
        <v>27</v>
      </c>
      <c r="M130">
        <v>13</v>
      </c>
      <c r="N130">
        <v>27</v>
      </c>
      <c r="O130">
        <v>0</v>
      </c>
      <c r="P130">
        <v>40</v>
      </c>
      <c r="R130">
        <v>27</v>
      </c>
      <c r="S130">
        <v>26</v>
      </c>
      <c r="T130">
        <v>27</v>
      </c>
      <c r="U130">
        <v>13</v>
      </c>
      <c r="V130">
        <v>27</v>
      </c>
      <c r="W130">
        <v>55</v>
      </c>
      <c r="X130">
        <v>0</v>
      </c>
      <c r="Y130">
        <v>27</v>
      </c>
      <c r="Z130">
        <v>27</v>
      </c>
      <c r="AA130">
        <v>27</v>
      </c>
      <c r="AC130">
        <v>27</v>
      </c>
      <c r="AD130">
        <v>28</v>
      </c>
      <c r="AE130">
        <v>27</v>
      </c>
      <c r="AF130">
        <v>27</v>
      </c>
      <c r="AH130">
        <f>SUM(B130:AF130)</f>
        <v>767</v>
      </c>
      <c r="AI130" s="2" t="s">
        <v>5</v>
      </c>
    </row>
    <row r="131" spans="1:35" hidden="1" x14ac:dyDescent="0.3">
      <c r="A131" s="2" t="s">
        <v>91</v>
      </c>
      <c r="F131">
        <v>5</v>
      </c>
      <c r="M131">
        <v>5</v>
      </c>
      <c r="T131">
        <v>5</v>
      </c>
      <c r="AA131">
        <v>5</v>
      </c>
      <c r="AH131">
        <f>SUM(B131:AF131)</f>
        <v>20</v>
      </c>
      <c r="AI131" s="2" t="s">
        <v>91</v>
      </c>
    </row>
    <row r="132" spans="1:35" hidden="1" x14ac:dyDescent="0.3">
      <c r="A132" s="2" t="s">
        <v>0</v>
      </c>
      <c r="E132">
        <v>200</v>
      </c>
      <c r="I132" s="5">
        <v>200</v>
      </c>
      <c r="N132">
        <v>1000</v>
      </c>
      <c r="AA132" s="5">
        <v>200</v>
      </c>
      <c r="AC132">
        <v>200</v>
      </c>
      <c r="AH132">
        <f t="shared" ref="AH132:AH149" si="6">SUM(B132:AF132)</f>
        <v>1800</v>
      </c>
      <c r="AI132" s="2" t="s">
        <v>0</v>
      </c>
    </row>
    <row r="133" spans="1:35" hidden="1" x14ac:dyDescent="0.3">
      <c r="A133" s="2" t="s">
        <v>16</v>
      </c>
      <c r="D133">
        <v>30</v>
      </c>
      <c r="E133">
        <v>20</v>
      </c>
      <c r="F133">
        <v>105.36</v>
      </c>
      <c r="G133">
        <v>20</v>
      </c>
      <c r="K133">
        <v>30</v>
      </c>
      <c r="L133">
        <v>20</v>
      </c>
      <c r="N133">
        <v>50</v>
      </c>
      <c r="O133">
        <v>71</v>
      </c>
      <c r="P133">
        <v>26.68</v>
      </c>
      <c r="V133">
        <v>162.38999999999999</v>
      </c>
      <c r="W133">
        <v>350</v>
      </c>
      <c r="AA133">
        <v>18</v>
      </c>
      <c r="AB133">
        <v>29</v>
      </c>
      <c r="AF133">
        <v>265</v>
      </c>
      <c r="AH133">
        <f t="shared" si="6"/>
        <v>1197.43</v>
      </c>
      <c r="AI133" s="2" t="s">
        <v>16</v>
      </c>
    </row>
    <row r="134" spans="1:35" hidden="1" x14ac:dyDescent="0.3">
      <c r="A134" s="2" t="s">
        <v>34</v>
      </c>
      <c r="D134">
        <v>10</v>
      </c>
      <c r="F134">
        <v>165.5</v>
      </c>
      <c r="AC134">
        <v>440</v>
      </c>
      <c r="AH134">
        <f t="shared" si="6"/>
        <v>615.5</v>
      </c>
      <c r="AI134" s="2" t="s">
        <v>34</v>
      </c>
    </row>
    <row r="135" spans="1:35" hidden="1" x14ac:dyDescent="0.3">
      <c r="A135" s="2" t="s">
        <v>18</v>
      </c>
      <c r="F135">
        <v>1389.5</v>
      </c>
      <c r="J135">
        <v>150</v>
      </c>
      <c r="N135">
        <v>20</v>
      </c>
      <c r="P135">
        <v>75</v>
      </c>
      <c r="R135">
        <v>105</v>
      </c>
      <c r="V135">
        <v>241</v>
      </c>
      <c r="W135">
        <v>60</v>
      </c>
      <c r="AA135">
        <v>554</v>
      </c>
      <c r="AC135">
        <v>110</v>
      </c>
      <c r="AH135">
        <f t="shared" si="6"/>
        <v>2704.5</v>
      </c>
      <c r="AI135" s="2" t="s">
        <v>18</v>
      </c>
    </row>
    <row r="136" spans="1:35" hidden="1" x14ac:dyDescent="0.3">
      <c r="A136" s="2" t="s">
        <v>2</v>
      </c>
      <c r="D136">
        <v>47</v>
      </c>
      <c r="E136">
        <v>30</v>
      </c>
      <c r="F136">
        <v>257</v>
      </c>
      <c r="K136">
        <v>36</v>
      </c>
      <c r="L136">
        <v>90</v>
      </c>
      <c r="N136">
        <v>150</v>
      </c>
      <c r="U136">
        <v>32</v>
      </c>
      <c r="V136">
        <v>31</v>
      </c>
      <c r="W136">
        <v>60</v>
      </c>
      <c r="AA136">
        <v>25</v>
      </c>
      <c r="AF136">
        <v>65</v>
      </c>
      <c r="AH136">
        <f t="shared" si="6"/>
        <v>823</v>
      </c>
      <c r="AI136" s="2" t="s">
        <v>2</v>
      </c>
    </row>
    <row r="137" spans="1:35" hidden="1" x14ac:dyDescent="0.3">
      <c r="A137" s="2" t="s">
        <v>19</v>
      </c>
      <c r="E137">
        <v>30</v>
      </c>
      <c r="F137">
        <v>99.5</v>
      </c>
      <c r="I137">
        <v>30</v>
      </c>
      <c r="M137">
        <v>70</v>
      </c>
      <c r="N137">
        <v>135</v>
      </c>
      <c r="P137">
        <v>15</v>
      </c>
      <c r="S137">
        <v>40</v>
      </c>
      <c r="T137">
        <v>110</v>
      </c>
      <c r="U137">
        <v>150</v>
      </c>
      <c r="V137">
        <v>49</v>
      </c>
      <c r="AA137">
        <v>20</v>
      </c>
      <c r="AC137">
        <v>45</v>
      </c>
      <c r="AE137">
        <v>30</v>
      </c>
      <c r="AF137">
        <v>30</v>
      </c>
      <c r="AH137">
        <f t="shared" si="6"/>
        <v>853.5</v>
      </c>
      <c r="AI137" s="2" t="s">
        <v>19</v>
      </c>
    </row>
    <row r="138" spans="1:35" hidden="1" x14ac:dyDescent="0.3">
      <c r="A138" s="2" t="s">
        <v>7</v>
      </c>
      <c r="F138">
        <v>100</v>
      </c>
      <c r="Q138">
        <v>50</v>
      </c>
      <c r="V138">
        <v>50</v>
      </c>
      <c r="W138">
        <v>80</v>
      </c>
      <c r="AF138">
        <v>50</v>
      </c>
      <c r="AH138">
        <f t="shared" si="6"/>
        <v>330</v>
      </c>
      <c r="AI138" s="2" t="s">
        <v>7</v>
      </c>
    </row>
    <row r="139" spans="1:35" hidden="1" x14ac:dyDescent="0.3">
      <c r="A139" s="2" t="s">
        <v>15</v>
      </c>
      <c r="K139">
        <v>381</v>
      </c>
      <c r="L139">
        <v>436</v>
      </c>
      <c r="M139">
        <v>264</v>
      </c>
      <c r="N139">
        <v>465</v>
      </c>
      <c r="AH139">
        <f t="shared" si="6"/>
        <v>1546</v>
      </c>
      <c r="AI139" s="2" t="s">
        <v>15</v>
      </c>
    </row>
    <row r="140" spans="1:35" hidden="1" x14ac:dyDescent="0.3">
      <c r="A140" s="2" t="s">
        <v>13</v>
      </c>
      <c r="P140">
        <v>238</v>
      </c>
      <c r="AH140">
        <f t="shared" si="6"/>
        <v>238</v>
      </c>
      <c r="AI140" s="2" t="s">
        <v>13</v>
      </c>
    </row>
    <row r="141" spans="1:35" hidden="1" x14ac:dyDescent="0.3">
      <c r="A141" s="2" t="s">
        <v>17</v>
      </c>
      <c r="C141" s="3"/>
      <c r="E141">
        <v>197</v>
      </c>
      <c r="O141">
        <v>1179</v>
      </c>
      <c r="AH141">
        <f t="shared" si="6"/>
        <v>1376</v>
      </c>
      <c r="AI141" s="2" t="s">
        <v>17</v>
      </c>
    </row>
    <row r="142" spans="1:35" hidden="1" x14ac:dyDescent="0.3">
      <c r="A142" s="2" t="s">
        <v>54</v>
      </c>
      <c r="P142">
        <v>860</v>
      </c>
      <c r="AH142">
        <f t="shared" si="6"/>
        <v>860</v>
      </c>
      <c r="AI142" s="2" t="s">
        <v>11</v>
      </c>
    </row>
    <row r="143" spans="1:35" hidden="1" x14ac:dyDescent="0.3">
      <c r="A143" s="2" t="s">
        <v>20</v>
      </c>
      <c r="C143">
        <v>120</v>
      </c>
      <c r="F143">
        <v>40</v>
      </c>
      <c r="U143">
        <v>40</v>
      </c>
      <c r="X143">
        <v>250</v>
      </c>
      <c r="AB143">
        <v>80</v>
      </c>
      <c r="AC143">
        <v>14681</v>
      </c>
      <c r="AD143">
        <v>6000</v>
      </c>
      <c r="AH143">
        <f t="shared" si="6"/>
        <v>21211</v>
      </c>
      <c r="AI143" s="2" t="s">
        <v>20</v>
      </c>
    </row>
    <row r="144" spans="1:35" hidden="1" x14ac:dyDescent="0.3">
      <c r="A144" s="2" t="s">
        <v>8</v>
      </c>
      <c r="D144">
        <v>666</v>
      </c>
      <c r="V144">
        <v>109</v>
      </c>
      <c r="AD144">
        <v>546</v>
      </c>
      <c r="AH144">
        <f t="shared" si="6"/>
        <v>1321</v>
      </c>
      <c r="AI144" s="2" t="s">
        <v>8</v>
      </c>
    </row>
    <row r="145" spans="1:36" x14ac:dyDescent="0.3">
      <c r="A145" s="2" t="s">
        <v>12</v>
      </c>
      <c r="B145">
        <v>95</v>
      </c>
      <c r="D145">
        <v>334</v>
      </c>
      <c r="F145">
        <v>465</v>
      </c>
      <c r="I145">
        <v>1100</v>
      </c>
      <c r="J145">
        <v>17</v>
      </c>
      <c r="L145">
        <v>14</v>
      </c>
      <c r="U145">
        <v>150</v>
      </c>
      <c r="Z145">
        <v>150</v>
      </c>
      <c r="AD145">
        <v>70</v>
      </c>
      <c r="AH145">
        <f t="shared" si="6"/>
        <v>2395</v>
      </c>
      <c r="AI145" s="2" t="s">
        <v>12</v>
      </c>
    </row>
    <row r="146" spans="1:36" hidden="1" x14ac:dyDescent="0.3">
      <c r="A146" s="2" t="s">
        <v>30</v>
      </c>
      <c r="AA146">
        <v>50</v>
      </c>
      <c r="AH146">
        <f t="shared" si="6"/>
        <v>50</v>
      </c>
      <c r="AI146" s="2" t="s">
        <v>93</v>
      </c>
    </row>
    <row r="147" spans="1:36" hidden="1" x14ac:dyDescent="0.3">
      <c r="A147" s="2" t="s">
        <v>92</v>
      </c>
      <c r="N147">
        <v>350</v>
      </c>
      <c r="AH147">
        <f t="shared" si="6"/>
        <v>350</v>
      </c>
      <c r="AI147" s="2" t="s">
        <v>92</v>
      </c>
    </row>
    <row r="148" spans="1:36" hidden="1" x14ac:dyDescent="0.3">
      <c r="A148" s="2" t="s">
        <v>4</v>
      </c>
      <c r="F148">
        <v>9</v>
      </c>
      <c r="V148">
        <v>49.5</v>
      </c>
      <c r="AB148">
        <v>100</v>
      </c>
      <c r="AH148">
        <f t="shared" si="6"/>
        <v>158.5</v>
      </c>
      <c r="AI148" s="2" t="s">
        <v>4</v>
      </c>
    </row>
    <row r="149" spans="1:36" hidden="1" x14ac:dyDescent="0.3">
      <c r="A149" s="2" t="s">
        <v>89</v>
      </c>
      <c r="C149" s="13">
        <v>60</v>
      </c>
      <c r="E149" s="13">
        <v>75</v>
      </c>
      <c r="F149" s="13">
        <v>109</v>
      </c>
      <c r="M149" s="13">
        <v>158</v>
      </c>
      <c r="N149" s="13">
        <v>20</v>
      </c>
      <c r="P149" s="13">
        <v>289.14</v>
      </c>
      <c r="AA149" s="13">
        <v>400</v>
      </c>
      <c r="AF149" s="13">
        <v>276</v>
      </c>
      <c r="AH149">
        <f t="shared" si="6"/>
        <v>1387.1399999999999</v>
      </c>
      <c r="AI149" s="2" t="s">
        <v>89</v>
      </c>
    </row>
    <row r="150" spans="1:36" hidden="1" x14ac:dyDescent="0.3">
      <c r="Q150" s="6">
        <f>SUM(B130:AF148)</f>
        <v>38616.43</v>
      </c>
      <c r="R150">
        <v>-20681</v>
      </c>
      <c r="AJ150">
        <f>SUM(AJ128,Q150)</f>
        <v>247341.30999999997</v>
      </c>
    </row>
    <row r="151" spans="1:36" hidden="1" x14ac:dyDescent="0.3">
      <c r="B151" s="1">
        <v>45870</v>
      </c>
      <c r="C151" s="1">
        <v>45871</v>
      </c>
      <c r="D151" s="1">
        <v>45872</v>
      </c>
      <c r="E151" s="1">
        <v>45873</v>
      </c>
      <c r="F151" s="1">
        <v>45874</v>
      </c>
      <c r="G151" s="1">
        <v>45875</v>
      </c>
      <c r="H151" s="1">
        <v>45876</v>
      </c>
      <c r="I151" s="1">
        <v>45877</v>
      </c>
      <c r="J151" s="1">
        <v>45878</v>
      </c>
      <c r="K151" s="1">
        <v>45879</v>
      </c>
      <c r="L151" s="1">
        <v>45880</v>
      </c>
      <c r="M151" s="1">
        <v>45881</v>
      </c>
      <c r="N151" s="1">
        <v>45882</v>
      </c>
      <c r="O151" s="1">
        <v>45883</v>
      </c>
      <c r="P151" s="1">
        <v>45884</v>
      </c>
      <c r="Q151" s="1">
        <v>45885</v>
      </c>
      <c r="R151" s="1">
        <v>45886</v>
      </c>
      <c r="S151" s="1">
        <v>45887</v>
      </c>
      <c r="T151" s="1">
        <v>45888</v>
      </c>
      <c r="U151" s="1">
        <v>45889</v>
      </c>
      <c r="V151" s="1">
        <v>45890</v>
      </c>
      <c r="W151" s="1">
        <v>45891</v>
      </c>
      <c r="X151" s="1">
        <v>45892</v>
      </c>
      <c r="Y151" s="1">
        <v>45893</v>
      </c>
      <c r="Z151" s="1">
        <v>45894</v>
      </c>
      <c r="AA151" s="1">
        <v>45895</v>
      </c>
      <c r="AB151" s="1">
        <v>45896</v>
      </c>
      <c r="AC151" s="1">
        <v>45897</v>
      </c>
      <c r="AD151" s="1">
        <v>45898</v>
      </c>
      <c r="AE151" s="1">
        <v>45899</v>
      </c>
      <c r="AF151" s="1">
        <v>45900</v>
      </c>
    </row>
    <row r="152" spans="1:36" hidden="1" x14ac:dyDescent="0.3">
      <c r="A152" s="2" t="s">
        <v>5</v>
      </c>
      <c r="B152">
        <v>28</v>
      </c>
      <c r="C152">
        <v>13</v>
      </c>
      <c r="D152">
        <v>27</v>
      </c>
      <c r="E152">
        <v>0</v>
      </c>
      <c r="F152">
        <v>40</v>
      </c>
      <c r="G152">
        <v>24</v>
      </c>
      <c r="H152">
        <v>13</v>
      </c>
      <c r="I152">
        <v>40</v>
      </c>
      <c r="J152">
        <v>0</v>
      </c>
      <c r="K152">
        <v>27</v>
      </c>
      <c r="L152">
        <v>27</v>
      </c>
      <c r="M152">
        <v>0</v>
      </c>
      <c r="N152">
        <v>40</v>
      </c>
      <c r="O152">
        <v>0</v>
      </c>
      <c r="P152">
        <v>40</v>
      </c>
      <c r="Q152">
        <v>0</v>
      </c>
      <c r="R152">
        <v>0</v>
      </c>
      <c r="S152">
        <v>40</v>
      </c>
      <c r="T152">
        <v>0</v>
      </c>
      <c r="U152">
        <v>27</v>
      </c>
      <c r="V152">
        <v>0</v>
      </c>
      <c r="W152">
        <v>40</v>
      </c>
      <c r="X152">
        <v>40</v>
      </c>
      <c r="Z152">
        <v>13</v>
      </c>
      <c r="AA152">
        <v>27</v>
      </c>
      <c r="AB152">
        <v>0</v>
      </c>
      <c r="AC152">
        <v>40</v>
      </c>
      <c r="AD152">
        <v>40</v>
      </c>
      <c r="AF152">
        <v>27</v>
      </c>
      <c r="AH152">
        <f>SUM(B152:AF152)</f>
        <v>613</v>
      </c>
      <c r="AI152" s="2" t="s">
        <v>5</v>
      </c>
    </row>
    <row r="153" spans="1:36" hidden="1" x14ac:dyDescent="0.3">
      <c r="A153" s="2" t="s">
        <v>91</v>
      </c>
      <c r="C153">
        <v>5</v>
      </c>
      <c r="J153">
        <v>5</v>
      </c>
      <c r="X153">
        <v>5</v>
      </c>
      <c r="AH153">
        <f>SUM(B153:AF153)</f>
        <v>15</v>
      </c>
      <c r="AI153" s="2" t="s">
        <v>91</v>
      </c>
    </row>
    <row r="154" spans="1:36" hidden="1" x14ac:dyDescent="0.3">
      <c r="A154" s="2" t="s">
        <v>0</v>
      </c>
      <c r="M154" s="5">
        <v>200</v>
      </c>
      <c r="R154">
        <v>1000</v>
      </c>
      <c r="U154">
        <v>500</v>
      </c>
      <c r="V154">
        <v>200</v>
      </c>
      <c r="AH154">
        <f t="shared" ref="AH154:AH171" si="7">SUM(B154:AF154)</f>
        <v>1900</v>
      </c>
      <c r="AI154" s="2" t="s">
        <v>0</v>
      </c>
    </row>
    <row r="155" spans="1:36" hidden="1" x14ac:dyDescent="0.3">
      <c r="A155" s="2" t="s">
        <v>16</v>
      </c>
      <c r="D155">
        <v>278</v>
      </c>
      <c r="H155">
        <v>27</v>
      </c>
      <c r="K155">
        <v>15</v>
      </c>
      <c r="P155">
        <v>15</v>
      </c>
      <c r="T155">
        <v>50</v>
      </c>
      <c r="X155">
        <v>48</v>
      </c>
      <c r="Y155">
        <v>495</v>
      </c>
      <c r="Z155">
        <v>146</v>
      </c>
      <c r="AH155">
        <f t="shared" si="7"/>
        <v>1074</v>
      </c>
      <c r="AI155" s="2" t="s">
        <v>16</v>
      </c>
    </row>
    <row r="156" spans="1:36" hidden="1" x14ac:dyDescent="0.3">
      <c r="A156" s="2" t="s">
        <v>34</v>
      </c>
      <c r="F156">
        <v>26</v>
      </c>
      <c r="L156">
        <v>100</v>
      </c>
      <c r="AH156">
        <f t="shared" si="7"/>
        <v>126</v>
      </c>
      <c r="AI156" s="2" t="s">
        <v>34</v>
      </c>
    </row>
    <row r="157" spans="1:36" hidden="1" x14ac:dyDescent="0.3">
      <c r="A157" s="2" t="s">
        <v>18</v>
      </c>
      <c r="D157">
        <v>824</v>
      </c>
      <c r="F157">
        <v>700</v>
      </c>
      <c r="K157">
        <v>973</v>
      </c>
      <c r="N157">
        <v>50</v>
      </c>
      <c r="S157">
        <v>1025</v>
      </c>
      <c r="T157">
        <v>292.11</v>
      </c>
      <c r="V157">
        <v>312</v>
      </c>
      <c r="X157">
        <v>1145</v>
      </c>
      <c r="Z157">
        <v>125</v>
      </c>
      <c r="AE157">
        <v>70</v>
      </c>
      <c r="AH157">
        <f t="shared" si="7"/>
        <v>5516.1100000000006</v>
      </c>
      <c r="AI157" s="2" t="s">
        <v>18</v>
      </c>
    </row>
    <row r="158" spans="1:36" hidden="1" x14ac:dyDescent="0.3">
      <c r="A158" s="2" t="s">
        <v>2</v>
      </c>
      <c r="D158">
        <v>50</v>
      </c>
      <c r="F158">
        <v>200</v>
      </c>
      <c r="H158">
        <v>79</v>
      </c>
      <c r="T158">
        <v>55</v>
      </c>
      <c r="V158">
        <v>50</v>
      </c>
      <c r="W158">
        <v>40</v>
      </c>
      <c r="X158">
        <v>126.84</v>
      </c>
      <c r="Y158">
        <v>40</v>
      </c>
      <c r="Z158">
        <v>126.5</v>
      </c>
      <c r="AH158">
        <f t="shared" si="7"/>
        <v>767.34</v>
      </c>
      <c r="AI158" s="2" t="s">
        <v>2</v>
      </c>
    </row>
    <row r="159" spans="1:36" hidden="1" x14ac:dyDescent="0.3">
      <c r="A159" s="2" t="s">
        <v>19</v>
      </c>
      <c r="B159">
        <v>40</v>
      </c>
      <c r="F159">
        <v>100</v>
      </c>
      <c r="H159">
        <v>30</v>
      </c>
      <c r="R159">
        <v>75</v>
      </c>
      <c r="X159">
        <v>60</v>
      </c>
      <c r="Y159">
        <v>70</v>
      </c>
      <c r="Z159">
        <v>35</v>
      </c>
      <c r="AA159">
        <v>40</v>
      </c>
      <c r="AD159">
        <v>20</v>
      </c>
      <c r="AE159">
        <v>110</v>
      </c>
      <c r="AH159">
        <f t="shared" si="7"/>
        <v>580</v>
      </c>
      <c r="AI159" s="2" t="s">
        <v>19</v>
      </c>
    </row>
    <row r="160" spans="1:36" hidden="1" x14ac:dyDescent="0.3">
      <c r="A160" s="2" t="s">
        <v>7</v>
      </c>
      <c r="D160">
        <v>100</v>
      </c>
      <c r="P160">
        <v>50</v>
      </c>
      <c r="V160">
        <v>50</v>
      </c>
      <c r="AA160">
        <v>100</v>
      </c>
      <c r="AH160">
        <f t="shared" si="7"/>
        <v>300</v>
      </c>
      <c r="AI160" s="2" t="s">
        <v>7</v>
      </c>
    </row>
    <row r="161" spans="1:43" hidden="1" x14ac:dyDescent="0.3">
      <c r="A161" s="2" t="s">
        <v>15</v>
      </c>
      <c r="K161">
        <v>382</v>
      </c>
      <c r="L161">
        <v>521</v>
      </c>
      <c r="M161">
        <v>282</v>
      </c>
      <c r="N161">
        <v>431</v>
      </c>
      <c r="AH161">
        <f t="shared" si="7"/>
        <v>1616</v>
      </c>
      <c r="AI161" s="2" t="s">
        <v>15</v>
      </c>
    </row>
    <row r="162" spans="1:43" hidden="1" x14ac:dyDescent="0.3">
      <c r="A162" s="2" t="s">
        <v>13</v>
      </c>
      <c r="O162">
        <v>248</v>
      </c>
      <c r="AH162">
        <f t="shared" si="7"/>
        <v>248</v>
      </c>
      <c r="AI162" s="2" t="s">
        <v>13</v>
      </c>
    </row>
    <row r="163" spans="1:43" hidden="1" x14ac:dyDescent="0.3">
      <c r="A163" s="2" t="s">
        <v>17</v>
      </c>
      <c r="B163">
        <v>16</v>
      </c>
      <c r="O163">
        <v>1179</v>
      </c>
      <c r="AH163">
        <f t="shared" si="7"/>
        <v>1195</v>
      </c>
      <c r="AI163" s="2" t="s">
        <v>17</v>
      </c>
    </row>
    <row r="164" spans="1:43" hidden="1" x14ac:dyDescent="0.3">
      <c r="A164" s="2" t="s">
        <v>53</v>
      </c>
      <c r="G164">
        <v>3314</v>
      </c>
      <c r="Z164">
        <v>315</v>
      </c>
      <c r="AE164">
        <v>300</v>
      </c>
      <c r="AH164">
        <f t="shared" si="7"/>
        <v>3929</v>
      </c>
      <c r="AI164" s="2" t="s">
        <v>53</v>
      </c>
    </row>
    <row r="165" spans="1:43" hidden="1" x14ac:dyDescent="0.3">
      <c r="A165" s="2" t="s">
        <v>20</v>
      </c>
      <c r="B165">
        <v>120</v>
      </c>
      <c r="E165">
        <v>170</v>
      </c>
      <c r="G165">
        <v>280</v>
      </c>
      <c r="W165">
        <v>120</v>
      </c>
      <c r="AD165">
        <v>120</v>
      </c>
      <c r="AH165">
        <f t="shared" si="7"/>
        <v>810</v>
      </c>
      <c r="AI165" s="2" t="s">
        <v>20</v>
      </c>
    </row>
    <row r="166" spans="1:43" hidden="1" x14ac:dyDescent="0.3">
      <c r="A166" s="2" t="s">
        <v>8</v>
      </c>
      <c r="J166">
        <v>953</v>
      </c>
      <c r="W166">
        <v>20</v>
      </c>
      <c r="Z166">
        <v>850</v>
      </c>
      <c r="AE166">
        <v>100</v>
      </c>
      <c r="AH166">
        <f t="shared" si="7"/>
        <v>1923</v>
      </c>
      <c r="AI166" s="2" t="s">
        <v>8</v>
      </c>
    </row>
    <row r="167" spans="1:43" x14ac:dyDescent="0.3">
      <c r="A167" s="2" t="s">
        <v>12</v>
      </c>
      <c r="G167">
        <v>11</v>
      </c>
      <c r="L167">
        <v>20</v>
      </c>
      <c r="U167">
        <v>50</v>
      </c>
      <c r="AA167">
        <v>70</v>
      </c>
      <c r="AD167">
        <v>2</v>
      </c>
      <c r="AH167">
        <f t="shared" si="7"/>
        <v>153</v>
      </c>
      <c r="AI167" s="2" t="s">
        <v>12</v>
      </c>
    </row>
    <row r="168" spans="1:43" hidden="1" x14ac:dyDescent="0.3">
      <c r="A168" s="2" t="s">
        <v>94</v>
      </c>
      <c r="R168">
        <v>20</v>
      </c>
      <c r="Y168">
        <v>40</v>
      </c>
      <c r="AH168">
        <f t="shared" si="7"/>
        <v>60</v>
      </c>
      <c r="AI168" s="2" t="s">
        <v>94</v>
      </c>
    </row>
    <row r="169" spans="1:43" hidden="1" x14ac:dyDescent="0.3">
      <c r="A169" s="2" t="s">
        <v>93</v>
      </c>
      <c r="R169">
        <v>100</v>
      </c>
      <c r="AH169">
        <f t="shared" si="7"/>
        <v>100</v>
      </c>
      <c r="AI169" s="2" t="s">
        <v>93</v>
      </c>
    </row>
    <row r="170" spans="1:43" hidden="1" x14ac:dyDescent="0.3">
      <c r="A170" s="2" t="s">
        <v>4</v>
      </c>
      <c r="F170">
        <v>740</v>
      </c>
      <c r="W170">
        <v>20</v>
      </c>
      <c r="AH170">
        <f t="shared" si="7"/>
        <v>760</v>
      </c>
      <c r="AI170" s="2" t="s">
        <v>4</v>
      </c>
    </row>
    <row r="171" spans="1:43" hidden="1" x14ac:dyDescent="0.3">
      <c r="A171" s="2" t="s">
        <v>89</v>
      </c>
      <c r="M171" s="13">
        <v>124</v>
      </c>
      <c r="T171" s="13">
        <v>300</v>
      </c>
      <c r="AA171" s="13">
        <v>600</v>
      </c>
      <c r="AC171" s="13">
        <v>26</v>
      </c>
      <c r="AH171">
        <f t="shared" si="7"/>
        <v>1050</v>
      </c>
      <c r="AI171" s="2" t="s">
        <v>89</v>
      </c>
    </row>
    <row r="172" spans="1:43" hidden="1" x14ac:dyDescent="0.3">
      <c r="Q172" s="6">
        <f>SUM(B152:AF170)</f>
        <v>21685.45</v>
      </c>
      <c r="AJ172">
        <f>SUM(AJ150,Q172)</f>
        <v>269026.75999999995</v>
      </c>
    </row>
    <row r="173" spans="1:43" hidden="1" x14ac:dyDescent="0.3">
      <c r="B173" s="1">
        <v>45901</v>
      </c>
      <c r="C173" s="1">
        <v>45902</v>
      </c>
      <c r="D173" s="1">
        <v>45903</v>
      </c>
      <c r="E173" s="1">
        <v>45904</v>
      </c>
      <c r="F173" s="1">
        <v>45905</v>
      </c>
      <c r="G173" s="1">
        <v>45906</v>
      </c>
      <c r="H173" s="1">
        <v>45907</v>
      </c>
      <c r="I173" s="1">
        <v>45908</v>
      </c>
      <c r="J173" s="1">
        <v>45909</v>
      </c>
      <c r="K173" s="1">
        <v>45910</v>
      </c>
      <c r="L173" s="1">
        <v>45911</v>
      </c>
      <c r="M173" s="1">
        <v>45912</v>
      </c>
      <c r="N173" s="1">
        <v>45913</v>
      </c>
      <c r="O173" s="1">
        <v>45914</v>
      </c>
      <c r="P173" s="1">
        <v>45915</v>
      </c>
      <c r="Q173" s="1">
        <v>45916</v>
      </c>
      <c r="R173" s="1">
        <v>45917</v>
      </c>
      <c r="S173" s="1">
        <v>45918</v>
      </c>
      <c r="T173" s="1">
        <v>45919</v>
      </c>
      <c r="U173" s="1">
        <v>45920</v>
      </c>
      <c r="V173" s="1">
        <v>45921</v>
      </c>
      <c r="W173" s="18">
        <v>45922</v>
      </c>
      <c r="X173" s="18">
        <v>45923</v>
      </c>
      <c r="Y173" s="18">
        <v>45924</v>
      </c>
      <c r="Z173" s="1">
        <v>45925</v>
      </c>
      <c r="AA173" s="1">
        <v>45926</v>
      </c>
      <c r="AB173" s="1">
        <v>45927</v>
      </c>
      <c r="AC173" s="1">
        <v>45928</v>
      </c>
      <c r="AD173" s="1">
        <v>45929</v>
      </c>
      <c r="AE173" s="1">
        <v>45930</v>
      </c>
    </row>
    <row r="174" spans="1:43" hidden="1" x14ac:dyDescent="0.3">
      <c r="A174" s="2" t="s">
        <v>5</v>
      </c>
      <c r="B174">
        <v>0</v>
      </c>
      <c r="C174">
        <v>40</v>
      </c>
      <c r="D174">
        <v>40</v>
      </c>
      <c r="F174">
        <v>27</v>
      </c>
      <c r="G174">
        <v>40</v>
      </c>
      <c r="H174">
        <v>0</v>
      </c>
      <c r="I174">
        <v>40</v>
      </c>
      <c r="J174">
        <v>27</v>
      </c>
      <c r="K174">
        <v>13</v>
      </c>
      <c r="L174">
        <v>27</v>
      </c>
      <c r="M174">
        <v>40</v>
      </c>
      <c r="O174">
        <v>40</v>
      </c>
      <c r="P174">
        <v>27</v>
      </c>
      <c r="Q174">
        <v>0</v>
      </c>
      <c r="R174">
        <v>40</v>
      </c>
      <c r="S174">
        <v>27</v>
      </c>
      <c r="T174">
        <v>40</v>
      </c>
      <c r="V174">
        <v>40</v>
      </c>
      <c r="Z174">
        <v>40</v>
      </c>
      <c r="AA174">
        <v>40</v>
      </c>
      <c r="AB174">
        <v>27</v>
      </c>
      <c r="AC174">
        <v>0</v>
      </c>
      <c r="AD174">
        <v>40</v>
      </c>
      <c r="AE174">
        <v>27</v>
      </c>
      <c r="AH174">
        <f>SUM(B174:AE174)</f>
        <v>682</v>
      </c>
      <c r="AI174" s="2" t="s">
        <v>5</v>
      </c>
      <c r="AK174" s="1">
        <v>45924</v>
      </c>
      <c r="AL174" s="1">
        <v>45923</v>
      </c>
      <c r="AM174" s="1">
        <v>45922</v>
      </c>
    </row>
    <row r="175" spans="1:43" hidden="1" x14ac:dyDescent="0.3">
      <c r="A175" s="2" t="s">
        <v>91</v>
      </c>
      <c r="N175">
        <v>5</v>
      </c>
      <c r="U175">
        <v>5</v>
      </c>
      <c r="AB175">
        <v>5</v>
      </c>
      <c r="AH175">
        <f>SUM(B175:AE175)</f>
        <v>15</v>
      </c>
      <c r="AI175" s="2" t="s">
        <v>91</v>
      </c>
      <c r="AK175">
        <v>1000</v>
      </c>
      <c r="AL175">
        <v>1650</v>
      </c>
      <c r="AM175">
        <v>400</v>
      </c>
      <c r="AP175">
        <v>34</v>
      </c>
      <c r="AQ175">
        <v>25.58</v>
      </c>
    </row>
    <row r="176" spans="1:43" hidden="1" x14ac:dyDescent="0.3">
      <c r="A176" s="2" t="s">
        <v>0</v>
      </c>
      <c r="G176">
        <v>200</v>
      </c>
      <c r="L176" s="5">
        <v>200</v>
      </c>
      <c r="X176">
        <v>4000</v>
      </c>
      <c r="AE176">
        <v>300</v>
      </c>
      <c r="AH176">
        <f t="shared" ref="AH176:AH195" si="8">SUM(B176:AE176)</f>
        <v>4700</v>
      </c>
      <c r="AI176" s="2" t="s">
        <v>0</v>
      </c>
      <c r="AK176" s="19">
        <v>1500</v>
      </c>
      <c r="AL176">
        <v>170</v>
      </c>
      <c r="AM176">
        <v>70</v>
      </c>
      <c r="AP176">
        <v>60</v>
      </c>
      <c r="AQ176">
        <v>45.12</v>
      </c>
    </row>
    <row r="177" spans="1:43" hidden="1" x14ac:dyDescent="0.3">
      <c r="A177" s="2" t="s">
        <v>16</v>
      </c>
      <c r="B177">
        <v>18</v>
      </c>
      <c r="C177">
        <v>25</v>
      </c>
      <c r="E177">
        <v>387</v>
      </c>
      <c r="F177">
        <v>20</v>
      </c>
      <c r="G177">
        <v>50</v>
      </c>
      <c r="J177">
        <v>13</v>
      </c>
      <c r="K177">
        <v>20</v>
      </c>
      <c r="O177">
        <v>10</v>
      </c>
      <c r="P177">
        <v>45</v>
      </c>
      <c r="R177">
        <v>14</v>
      </c>
      <c r="S177">
        <v>365.5</v>
      </c>
      <c r="AC177">
        <v>200</v>
      </c>
      <c r="AE177">
        <v>269</v>
      </c>
      <c r="AH177">
        <f t="shared" si="8"/>
        <v>1436.5</v>
      </c>
      <c r="AI177" s="2" t="s">
        <v>16</v>
      </c>
      <c r="AK177">
        <v>120</v>
      </c>
      <c r="AL177">
        <v>50</v>
      </c>
      <c r="AM177">
        <v>250</v>
      </c>
      <c r="AP177">
        <v>108</v>
      </c>
      <c r="AQ177">
        <v>81.27</v>
      </c>
    </row>
    <row r="178" spans="1:43" hidden="1" x14ac:dyDescent="0.3">
      <c r="A178" s="2" t="s">
        <v>34</v>
      </c>
      <c r="E178">
        <v>5</v>
      </c>
      <c r="AH178">
        <f t="shared" si="8"/>
        <v>5</v>
      </c>
      <c r="AI178" s="2" t="s">
        <v>34</v>
      </c>
      <c r="AK178">
        <v>881</v>
      </c>
      <c r="AM178" s="19">
        <v>2500</v>
      </c>
      <c r="AP178">
        <f>SUM(AP175:AP177)</f>
        <v>202</v>
      </c>
      <c r="AQ178">
        <f>SUM(AQ175:AQ177)</f>
        <v>151.96999999999997</v>
      </c>
    </row>
    <row r="179" spans="1:43" hidden="1" x14ac:dyDescent="0.3">
      <c r="A179" s="2" t="s">
        <v>18</v>
      </c>
      <c r="C179">
        <v>200</v>
      </c>
      <c r="E179">
        <v>70</v>
      </c>
      <c r="F179">
        <v>126.41</v>
      </c>
      <c r="K179">
        <v>364</v>
      </c>
      <c r="L179">
        <v>384</v>
      </c>
      <c r="N179">
        <v>170</v>
      </c>
      <c r="P179">
        <v>544.42999999999995</v>
      </c>
      <c r="R179">
        <v>88.5</v>
      </c>
      <c r="S179">
        <v>25.5</v>
      </c>
      <c r="T179">
        <v>189</v>
      </c>
      <c r="U179">
        <v>257</v>
      </c>
      <c r="AE179">
        <v>141</v>
      </c>
      <c r="AH179">
        <f t="shared" si="8"/>
        <v>2559.8399999999997</v>
      </c>
      <c r="AI179" s="2" t="s">
        <v>18</v>
      </c>
      <c r="AK179">
        <v>20</v>
      </c>
      <c r="AL179">
        <v>700</v>
      </c>
      <c r="AM179">
        <v>1100</v>
      </c>
      <c r="AP179">
        <v>-50</v>
      </c>
    </row>
    <row r="180" spans="1:43" hidden="1" x14ac:dyDescent="0.3">
      <c r="A180" s="2" t="s">
        <v>2</v>
      </c>
      <c r="B180">
        <v>40</v>
      </c>
      <c r="E180">
        <v>190</v>
      </c>
      <c r="F180">
        <v>233.44</v>
      </c>
      <c r="K180">
        <v>50</v>
      </c>
      <c r="P180">
        <v>101.57</v>
      </c>
      <c r="S180">
        <v>126.15</v>
      </c>
      <c r="AB180">
        <v>70</v>
      </c>
      <c r="AE180">
        <v>151</v>
      </c>
      <c r="AH180">
        <f t="shared" si="8"/>
        <v>962.16</v>
      </c>
      <c r="AI180" s="2" t="s">
        <v>2</v>
      </c>
      <c r="AK180">
        <v>150</v>
      </c>
      <c r="AM180">
        <v>78</v>
      </c>
    </row>
    <row r="181" spans="1:43" hidden="1" x14ac:dyDescent="0.3">
      <c r="A181" s="2" t="s">
        <v>19</v>
      </c>
      <c r="E181">
        <v>75</v>
      </c>
      <c r="F181">
        <v>47.5</v>
      </c>
      <c r="K181">
        <v>50</v>
      </c>
      <c r="O181">
        <v>60</v>
      </c>
      <c r="Q181">
        <v>36</v>
      </c>
      <c r="R181">
        <v>20.5</v>
      </c>
      <c r="S181">
        <v>15</v>
      </c>
      <c r="U181">
        <v>165</v>
      </c>
      <c r="AH181">
        <f t="shared" si="8"/>
        <v>469</v>
      </c>
      <c r="AI181" s="2" t="s">
        <v>19</v>
      </c>
      <c r="AK181">
        <v>90</v>
      </c>
    </row>
    <row r="182" spans="1:43" hidden="1" x14ac:dyDescent="0.3">
      <c r="A182" s="2" t="s">
        <v>7</v>
      </c>
      <c r="E182">
        <v>260</v>
      </c>
      <c r="G182">
        <v>30</v>
      </c>
      <c r="K182">
        <v>50</v>
      </c>
      <c r="AB182">
        <v>50</v>
      </c>
      <c r="AD182">
        <v>50</v>
      </c>
      <c r="AH182">
        <f t="shared" si="8"/>
        <v>440</v>
      </c>
      <c r="AI182" s="2" t="s">
        <v>7</v>
      </c>
    </row>
    <row r="183" spans="1:43" hidden="1" x14ac:dyDescent="0.3">
      <c r="A183" s="2" t="s">
        <v>15</v>
      </c>
      <c r="K183">
        <v>441</v>
      </c>
      <c r="L183">
        <v>384</v>
      </c>
      <c r="M183">
        <v>273</v>
      </c>
      <c r="N183">
        <v>607</v>
      </c>
      <c r="O183">
        <v>1</v>
      </c>
      <c r="AH183">
        <f t="shared" si="8"/>
        <v>1706</v>
      </c>
      <c r="AI183" s="2" t="s">
        <v>15</v>
      </c>
      <c r="AN183">
        <f>36*3</f>
        <v>108</v>
      </c>
    </row>
    <row r="184" spans="1:43" hidden="1" x14ac:dyDescent="0.3">
      <c r="A184" s="2" t="s">
        <v>13</v>
      </c>
      <c r="O184">
        <v>248</v>
      </c>
      <c r="AH184">
        <f t="shared" si="8"/>
        <v>248</v>
      </c>
      <c r="AI184" s="2" t="s">
        <v>13</v>
      </c>
    </row>
    <row r="185" spans="1:43" hidden="1" x14ac:dyDescent="0.3">
      <c r="A185" s="2" t="s">
        <v>17</v>
      </c>
      <c r="O185">
        <v>1179</v>
      </c>
      <c r="AH185">
        <f t="shared" si="8"/>
        <v>1179</v>
      </c>
      <c r="AI185" s="2" t="s">
        <v>17</v>
      </c>
    </row>
    <row r="186" spans="1:43" hidden="1" x14ac:dyDescent="0.3">
      <c r="A186" s="2" t="s">
        <v>53</v>
      </c>
      <c r="E186">
        <v>20</v>
      </c>
      <c r="F186">
        <v>410</v>
      </c>
      <c r="AH186">
        <f t="shared" si="8"/>
        <v>430</v>
      </c>
      <c r="AI186" s="2" t="s">
        <v>53</v>
      </c>
    </row>
    <row r="187" spans="1:43" hidden="1" x14ac:dyDescent="0.3">
      <c r="A187" s="2" t="s">
        <v>20</v>
      </c>
      <c r="D187">
        <v>32</v>
      </c>
      <c r="K187">
        <v>300</v>
      </c>
      <c r="AA187">
        <v>120</v>
      </c>
      <c r="AH187">
        <f t="shared" si="8"/>
        <v>452</v>
      </c>
      <c r="AI187" s="2" t="s">
        <v>20</v>
      </c>
      <c r="AL187">
        <f>SUM(AK175:AM183)</f>
        <v>10729</v>
      </c>
    </row>
    <row r="188" spans="1:43" hidden="1" x14ac:dyDescent="0.3">
      <c r="A188" s="2" t="s">
        <v>31</v>
      </c>
      <c r="V188">
        <v>40</v>
      </c>
      <c r="AH188">
        <f t="shared" si="8"/>
        <v>40</v>
      </c>
      <c r="AI188" s="2" t="s">
        <v>8</v>
      </c>
      <c r="AK188" t="s">
        <v>96</v>
      </c>
      <c r="AL188">
        <f>AL187/3</f>
        <v>3576.3333333333335</v>
      </c>
    </row>
    <row r="189" spans="1:43" x14ac:dyDescent="0.3">
      <c r="A189" s="2" t="s">
        <v>12</v>
      </c>
      <c r="B189">
        <v>10</v>
      </c>
      <c r="E189">
        <v>150</v>
      </c>
      <c r="H189">
        <v>20</v>
      </c>
      <c r="J189">
        <v>10</v>
      </c>
      <c r="L189">
        <v>20</v>
      </c>
      <c r="T189">
        <v>55</v>
      </c>
      <c r="AE189">
        <v>30017.7</v>
      </c>
      <c r="AH189">
        <f>SUM(B189:AE189)</f>
        <v>30282.7</v>
      </c>
      <c r="AI189" s="2" t="s">
        <v>12</v>
      </c>
    </row>
    <row r="190" spans="1:43" hidden="1" x14ac:dyDescent="0.3">
      <c r="A190" s="2" t="s">
        <v>10</v>
      </c>
      <c r="AC190">
        <v>500</v>
      </c>
      <c r="AH190">
        <f>SUM(B190:AE190)</f>
        <v>500</v>
      </c>
      <c r="AI190" s="2" t="s">
        <v>10</v>
      </c>
    </row>
    <row r="191" spans="1:43" hidden="1" x14ac:dyDescent="0.3">
      <c r="A191" s="2" t="s">
        <v>54</v>
      </c>
      <c r="Z191">
        <v>870</v>
      </c>
      <c r="AH191">
        <f t="shared" si="8"/>
        <v>870</v>
      </c>
      <c r="AI191" s="2" t="s">
        <v>54</v>
      </c>
    </row>
    <row r="192" spans="1:43" hidden="1" x14ac:dyDescent="0.3">
      <c r="A192" s="2" t="s">
        <v>94</v>
      </c>
      <c r="X192">
        <v>6729</v>
      </c>
      <c r="AH192">
        <f t="shared" si="8"/>
        <v>6729</v>
      </c>
      <c r="AI192" s="2" t="s">
        <v>94</v>
      </c>
      <c r="AL192">
        <v>120</v>
      </c>
    </row>
    <row r="193" spans="1:43" hidden="1" x14ac:dyDescent="0.3">
      <c r="A193" s="2" t="s">
        <v>95</v>
      </c>
      <c r="T193">
        <v>1000</v>
      </c>
      <c r="AH193">
        <f t="shared" si="8"/>
        <v>1000</v>
      </c>
      <c r="AI193" s="2" t="s">
        <v>93</v>
      </c>
      <c r="AL193">
        <v>-73</v>
      </c>
    </row>
    <row r="194" spans="1:43" hidden="1" x14ac:dyDescent="0.3">
      <c r="A194" s="2" t="s">
        <v>4</v>
      </c>
      <c r="E194">
        <v>165</v>
      </c>
      <c r="Q194">
        <v>50</v>
      </c>
      <c r="S194">
        <v>214</v>
      </c>
      <c r="Z194">
        <v>30</v>
      </c>
      <c r="AC194">
        <v>128</v>
      </c>
      <c r="AE194">
        <v>225</v>
      </c>
      <c r="AH194">
        <f t="shared" si="8"/>
        <v>812</v>
      </c>
      <c r="AI194" s="2" t="s">
        <v>4</v>
      </c>
    </row>
    <row r="195" spans="1:43" hidden="1" x14ac:dyDescent="0.3">
      <c r="A195" s="2" t="s">
        <v>89</v>
      </c>
      <c r="H195" s="13">
        <v>26</v>
      </c>
      <c r="M195" s="13">
        <v>317</v>
      </c>
      <c r="N195" s="13">
        <v>223</v>
      </c>
      <c r="P195" s="13">
        <v>38</v>
      </c>
      <c r="V195" s="13">
        <v>27</v>
      </c>
      <c r="AA195" s="13">
        <v>500</v>
      </c>
      <c r="AB195" s="13">
        <v>851</v>
      </c>
      <c r="AC195" s="13">
        <v>262</v>
      </c>
      <c r="AD195" s="13">
        <v>182</v>
      </c>
      <c r="AE195" s="13">
        <v>245</v>
      </c>
      <c r="AH195">
        <f t="shared" si="8"/>
        <v>2671</v>
      </c>
      <c r="AI195" s="2" t="s">
        <v>89</v>
      </c>
    </row>
    <row r="196" spans="1:43" hidden="1" x14ac:dyDescent="0.3">
      <c r="Q196" s="6">
        <f>SUM(B174:AE194)</f>
        <v>55518.2</v>
      </c>
      <c r="AJ196">
        <f>SUM(AJ172,Q196)</f>
        <v>324544.95999999996</v>
      </c>
    </row>
    <row r="197" spans="1:43" hidden="1" x14ac:dyDescent="0.3">
      <c r="B197" s="1">
        <v>45931</v>
      </c>
      <c r="C197" s="1">
        <v>45932</v>
      </c>
      <c r="D197" s="1">
        <v>45933</v>
      </c>
      <c r="E197" s="1">
        <v>45934</v>
      </c>
      <c r="F197" s="1">
        <v>45935</v>
      </c>
      <c r="G197" s="1">
        <v>45936</v>
      </c>
      <c r="H197" s="1">
        <v>45937</v>
      </c>
      <c r="I197" s="1">
        <v>45938</v>
      </c>
      <c r="J197" s="1">
        <v>45939</v>
      </c>
      <c r="K197" s="1">
        <v>45940</v>
      </c>
      <c r="L197" s="1">
        <v>45941</v>
      </c>
      <c r="M197" s="1">
        <v>45942</v>
      </c>
      <c r="N197" s="1">
        <v>45943</v>
      </c>
      <c r="O197" s="1">
        <v>45944</v>
      </c>
      <c r="P197" s="1">
        <v>45945</v>
      </c>
      <c r="Q197" s="1">
        <v>45946</v>
      </c>
      <c r="R197" s="1">
        <v>45947</v>
      </c>
      <c r="S197" s="1">
        <v>45948</v>
      </c>
      <c r="T197" s="1">
        <v>45949</v>
      </c>
      <c r="U197" s="1">
        <v>45950</v>
      </c>
      <c r="V197" s="1">
        <v>45951</v>
      </c>
      <c r="W197" s="1">
        <v>45952</v>
      </c>
      <c r="X197" s="1">
        <v>45953</v>
      </c>
      <c r="Y197" s="1">
        <v>45954</v>
      </c>
      <c r="Z197" s="1">
        <v>45955</v>
      </c>
      <c r="AA197" s="1">
        <v>45956</v>
      </c>
      <c r="AB197" s="1">
        <v>45957</v>
      </c>
      <c r="AC197" s="1">
        <v>45958</v>
      </c>
      <c r="AD197" s="1">
        <v>45959</v>
      </c>
      <c r="AE197" s="1">
        <v>45960</v>
      </c>
      <c r="AF197" s="1">
        <v>45961</v>
      </c>
    </row>
    <row r="198" spans="1:43" hidden="1" x14ac:dyDescent="0.3">
      <c r="A198" s="2" t="s">
        <v>5</v>
      </c>
      <c r="B198">
        <v>40</v>
      </c>
      <c r="C198">
        <v>0</v>
      </c>
      <c r="D198">
        <v>40</v>
      </c>
      <c r="E198">
        <v>40</v>
      </c>
      <c r="F198">
        <v>40</v>
      </c>
      <c r="G198">
        <v>13</v>
      </c>
      <c r="H198">
        <v>40</v>
      </c>
      <c r="I198">
        <v>27</v>
      </c>
      <c r="K198">
        <v>40</v>
      </c>
      <c r="L198">
        <v>40</v>
      </c>
      <c r="M198">
        <v>27</v>
      </c>
      <c r="O198">
        <v>40</v>
      </c>
      <c r="P198">
        <v>40</v>
      </c>
      <c r="Q198">
        <v>28</v>
      </c>
      <c r="R198">
        <v>27</v>
      </c>
      <c r="T198">
        <v>45</v>
      </c>
      <c r="V198">
        <v>55</v>
      </c>
      <c r="W198">
        <v>30</v>
      </c>
      <c r="Y198">
        <v>55</v>
      </c>
      <c r="Z198">
        <v>28</v>
      </c>
      <c r="AB198">
        <v>40</v>
      </c>
      <c r="AD198">
        <v>55</v>
      </c>
      <c r="AE198">
        <v>27</v>
      </c>
      <c r="AF198">
        <v>27</v>
      </c>
      <c r="AH198">
        <f>SUM(B198:AF198)</f>
        <v>844</v>
      </c>
      <c r="AI198" s="2" t="s">
        <v>5</v>
      </c>
    </row>
    <row r="199" spans="1:43" hidden="1" x14ac:dyDescent="0.3">
      <c r="A199" s="2" t="s">
        <v>91</v>
      </c>
      <c r="E199">
        <v>5</v>
      </c>
      <c r="S199">
        <v>5</v>
      </c>
      <c r="AH199">
        <f>SUM(B199:AF199)</f>
        <v>10</v>
      </c>
      <c r="AI199" s="2" t="s">
        <v>91</v>
      </c>
    </row>
    <row r="200" spans="1:43" hidden="1" x14ac:dyDescent="0.3">
      <c r="A200" s="2" t="s">
        <v>0</v>
      </c>
      <c r="H200" s="5">
        <v>205</v>
      </c>
      <c r="M200">
        <v>1010</v>
      </c>
      <c r="AA200">
        <v>200</v>
      </c>
      <c r="AH200">
        <f t="shared" ref="AH200:AH217" si="9">SUM(B200:AF200)</f>
        <v>1415</v>
      </c>
      <c r="AI200" s="2" t="s">
        <v>0</v>
      </c>
    </row>
    <row r="201" spans="1:43" hidden="1" x14ac:dyDescent="0.3">
      <c r="A201" s="2" t="s">
        <v>16</v>
      </c>
      <c r="E201">
        <v>75</v>
      </c>
      <c r="F201">
        <v>370</v>
      </c>
      <c r="H201">
        <v>10</v>
      </c>
      <c r="I201">
        <v>50</v>
      </c>
      <c r="N201">
        <v>25</v>
      </c>
      <c r="O201">
        <v>25</v>
      </c>
      <c r="S201">
        <v>110</v>
      </c>
      <c r="V201">
        <v>93</v>
      </c>
      <c r="X201">
        <v>87</v>
      </c>
      <c r="AA201">
        <v>370</v>
      </c>
      <c r="AC201">
        <v>111</v>
      </c>
      <c r="AE201">
        <v>100</v>
      </c>
      <c r="AH201">
        <f t="shared" si="9"/>
        <v>1426</v>
      </c>
      <c r="AI201" s="2" t="s">
        <v>16</v>
      </c>
    </row>
    <row r="202" spans="1:43" hidden="1" x14ac:dyDescent="0.3">
      <c r="A202" s="2" t="s">
        <v>34</v>
      </c>
      <c r="AA202">
        <v>330</v>
      </c>
      <c r="AB202">
        <v>705</v>
      </c>
      <c r="AH202">
        <f t="shared" si="9"/>
        <v>1035</v>
      </c>
      <c r="AI202" s="2" t="s">
        <v>34</v>
      </c>
      <c r="AQ202">
        <v>88.47</v>
      </c>
    </row>
    <row r="203" spans="1:43" hidden="1" x14ac:dyDescent="0.3">
      <c r="A203" s="2" t="s">
        <v>18</v>
      </c>
      <c r="H203">
        <v>170</v>
      </c>
      <c r="I203">
        <v>1610</v>
      </c>
      <c r="L203">
        <v>189</v>
      </c>
      <c r="M203">
        <v>60</v>
      </c>
      <c r="N203">
        <v>40</v>
      </c>
      <c r="O203">
        <v>938</v>
      </c>
      <c r="Q203">
        <v>50</v>
      </c>
      <c r="X203">
        <v>815.44</v>
      </c>
      <c r="AB203">
        <v>185</v>
      </c>
      <c r="AC203">
        <v>292.5</v>
      </c>
      <c r="AD203">
        <v>102</v>
      </c>
      <c r="AE203">
        <v>170</v>
      </c>
      <c r="AH203">
        <f t="shared" si="9"/>
        <v>4621.9400000000005</v>
      </c>
      <c r="AI203" s="2" t="s">
        <v>18</v>
      </c>
      <c r="AQ203">
        <v>-46.51</v>
      </c>
    </row>
    <row r="204" spans="1:43" hidden="1" x14ac:dyDescent="0.3">
      <c r="A204" s="2" t="s">
        <v>2</v>
      </c>
      <c r="F204">
        <v>120</v>
      </c>
      <c r="L204">
        <v>229</v>
      </c>
      <c r="O204">
        <v>13</v>
      </c>
      <c r="S204">
        <v>50</v>
      </c>
      <c r="V204">
        <v>36</v>
      </c>
      <c r="X204">
        <v>18.27</v>
      </c>
      <c r="AA204">
        <v>60</v>
      </c>
      <c r="AC204">
        <v>70</v>
      </c>
      <c r="AE204">
        <v>73</v>
      </c>
      <c r="AH204">
        <f t="shared" si="9"/>
        <v>669.27</v>
      </c>
      <c r="AI204" s="2" t="s">
        <v>2</v>
      </c>
      <c r="AQ204">
        <f>SUM(AQ202:AQ203)</f>
        <v>41.96</v>
      </c>
    </row>
    <row r="205" spans="1:43" hidden="1" x14ac:dyDescent="0.3">
      <c r="A205" s="2" t="s">
        <v>19</v>
      </c>
      <c r="I205">
        <v>75</v>
      </c>
      <c r="J205">
        <v>30</v>
      </c>
      <c r="L205">
        <v>240</v>
      </c>
      <c r="R205">
        <v>20</v>
      </c>
      <c r="X205">
        <v>107.5</v>
      </c>
      <c r="AC205">
        <v>32.5</v>
      </c>
      <c r="AE205">
        <v>30</v>
      </c>
      <c r="AH205">
        <f t="shared" si="9"/>
        <v>535</v>
      </c>
      <c r="AI205" s="2" t="s">
        <v>19</v>
      </c>
    </row>
    <row r="206" spans="1:43" hidden="1" x14ac:dyDescent="0.3">
      <c r="A206" s="2" t="s">
        <v>7</v>
      </c>
      <c r="B206">
        <v>50</v>
      </c>
      <c r="F206">
        <v>40</v>
      </c>
      <c r="J206">
        <v>50</v>
      </c>
      <c r="N206">
        <v>50</v>
      </c>
      <c r="R206">
        <v>50</v>
      </c>
      <c r="U206">
        <v>50</v>
      </c>
      <c r="AA206">
        <v>60</v>
      </c>
      <c r="AH206">
        <f t="shared" si="9"/>
        <v>350</v>
      </c>
      <c r="AI206" s="2" t="s">
        <v>7</v>
      </c>
    </row>
    <row r="207" spans="1:43" hidden="1" x14ac:dyDescent="0.3">
      <c r="A207" s="2" t="s">
        <v>15</v>
      </c>
      <c r="L207">
        <v>273</v>
      </c>
      <c r="M207">
        <v>534</v>
      </c>
      <c r="N207">
        <v>383</v>
      </c>
      <c r="O207">
        <v>417</v>
      </c>
      <c r="AH207">
        <f t="shared" si="9"/>
        <v>1607</v>
      </c>
      <c r="AI207" s="2" t="s">
        <v>15</v>
      </c>
    </row>
    <row r="208" spans="1:43" hidden="1" x14ac:dyDescent="0.3">
      <c r="A208" s="2" t="s">
        <v>13</v>
      </c>
      <c r="AH208">
        <f t="shared" si="9"/>
        <v>0</v>
      </c>
      <c r="AI208" s="2" t="s">
        <v>13</v>
      </c>
    </row>
    <row r="209" spans="1:36" hidden="1" x14ac:dyDescent="0.3">
      <c r="A209" s="2" t="s">
        <v>17</v>
      </c>
      <c r="G209">
        <v>39</v>
      </c>
      <c r="H209">
        <v>1000</v>
      </c>
      <c r="I209">
        <v>39</v>
      </c>
      <c r="AF209" s="3"/>
      <c r="AH209">
        <f>SUM(B209:AF209)</f>
        <v>1078</v>
      </c>
      <c r="AI209" s="2" t="s">
        <v>17</v>
      </c>
    </row>
    <row r="210" spans="1:36" hidden="1" x14ac:dyDescent="0.3">
      <c r="A210" s="2" t="s">
        <v>53</v>
      </c>
      <c r="U210">
        <v>2300</v>
      </c>
      <c r="AH210">
        <f t="shared" si="9"/>
        <v>2300</v>
      </c>
      <c r="AI210" s="2" t="s">
        <v>53</v>
      </c>
    </row>
    <row r="211" spans="1:36" hidden="1" x14ac:dyDescent="0.3">
      <c r="A211" s="2" t="s">
        <v>20</v>
      </c>
      <c r="F211">
        <v>40</v>
      </c>
      <c r="G211">
        <v>170</v>
      </c>
      <c r="K211">
        <v>120</v>
      </c>
      <c r="N211">
        <v>136</v>
      </c>
      <c r="P211">
        <v>158</v>
      </c>
      <c r="AA211">
        <v>20</v>
      </c>
      <c r="AH211">
        <f t="shared" si="9"/>
        <v>644</v>
      </c>
      <c r="AI211" s="2" t="s">
        <v>20</v>
      </c>
    </row>
    <row r="212" spans="1:36" hidden="1" x14ac:dyDescent="0.3">
      <c r="A212" s="2" t="s">
        <v>31</v>
      </c>
      <c r="T212">
        <v>45</v>
      </c>
      <c r="AH212">
        <f t="shared" si="9"/>
        <v>45</v>
      </c>
      <c r="AI212" s="2" t="s">
        <v>6</v>
      </c>
    </row>
    <row r="213" spans="1:36" x14ac:dyDescent="0.3">
      <c r="A213" s="2" t="s">
        <v>12</v>
      </c>
      <c r="F213">
        <v>100</v>
      </c>
      <c r="O213">
        <v>20</v>
      </c>
      <c r="Q213">
        <v>120</v>
      </c>
      <c r="AH213">
        <f t="shared" si="9"/>
        <v>240</v>
      </c>
      <c r="AI213" s="2" t="s">
        <v>12</v>
      </c>
    </row>
    <row r="214" spans="1:36" hidden="1" x14ac:dyDescent="0.3">
      <c r="A214" s="2" t="s">
        <v>8</v>
      </c>
      <c r="AH214">
        <f t="shared" si="9"/>
        <v>0</v>
      </c>
      <c r="AI214" s="2" t="s">
        <v>8</v>
      </c>
    </row>
    <row r="215" spans="1:36" hidden="1" x14ac:dyDescent="0.3">
      <c r="A215" s="2" t="s">
        <v>97</v>
      </c>
      <c r="O215">
        <v>3411</v>
      </c>
      <c r="AH215">
        <f t="shared" si="9"/>
        <v>3411</v>
      </c>
      <c r="AI215" s="2" t="s">
        <v>94</v>
      </c>
    </row>
    <row r="216" spans="1:36" hidden="1" x14ac:dyDescent="0.3">
      <c r="A216" s="2" t="s">
        <v>4</v>
      </c>
      <c r="M216">
        <v>40</v>
      </c>
      <c r="O216">
        <v>10</v>
      </c>
      <c r="AA216">
        <v>30</v>
      </c>
      <c r="AH216">
        <f t="shared" si="9"/>
        <v>80</v>
      </c>
      <c r="AI216" s="2" t="s">
        <v>4</v>
      </c>
    </row>
    <row r="217" spans="1:36" hidden="1" x14ac:dyDescent="0.3">
      <c r="A217" s="2" t="s">
        <v>89</v>
      </c>
      <c r="D217" s="13">
        <v>76</v>
      </c>
      <c r="G217" s="13">
        <v>197</v>
      </c>
      <c r="M217" s="13">
        <v>182</v>
      </c>
      <c r="O217" s="13">
        <v>23</v>
      </c>
      <c r="P217" s="13">
        <v>3599</v>
      </c>
      <c r="Q217" s="13">
        <v>145</v>
      </c>
      <c r="S217" s="13">
        <v>11</v>
      </c>
      <c r="T217" s="13">
        <v>45</v>
      </c>
      <c r="U217" s="13">
        <v>26</v>
      </c>
      <c r="AD217" s="13">
        <v>102</v>
      </c>
      <c r="AE217" s="13">
        <v>806</v>
      </c>
      <c r="AH217">
        <f t="shared" si="9"/>
        <v>5212</v>
      </c>
      <c r="AI217" s="2" t="s">
        <v>89</v>
      </c>
    </row>
    <row r="218" spans="1:36" hidden="1" x14ac:dyDescent="0.3">
      <c r="Q218" s="6">
        <f>SUM(B198:AF216)</f>
        <v>20311.21</v>
      </c>
      <c r="AJ218">
        <f>SUM(AJ196,Q218)</f>
        <v>344856.17</v>
      </c>
    </row>
    <row r="219" spans="1:36" hidden="1" x14ac:dyDescent="0.3">
      <c r="B219" s="1">
        <v>45962</v>
      </c>
      <c r="C219" s="1">
        <v>45963</v>
      </c>
      <c r="D219" s="1">
        <v>45964</v>
      </c>
      <c r="E219" s="1">
        <v>45965</v>
      </c>
      <c r="F219" s="1">
        <v>45966</v>
      </c>
      <c r="G219" s="1">
        <v>45967</v>
      </c>
      <c r="H219" s="1">
        <v>45968</v>
      </c>
      <c r="I219" s="1">
        <v>45969</v>
      </c>
      <c r="J219" s="1">
        <v>45970</v>
      </c>
      <c r="K219" s="1">
        <v>45971</v>
      </c>
      <c r="L219" s="1">
        <v>45972</v>
      </c>
      <c r="M219" s="1">
        <v>45973</v>
      </c>
      <c r="N219" s="1">
        <v>45974</v>
      </c>
      <c r="O219" s="1">
        <v>45975</v>
      </c>
      <c r="P219" s="1">
        <v>45976</v>
      </c>
      <c r="Q219" s="1">
        <v>45977</v>
      </c>
      <c r="R219" s="1">
        <v>45978</v>
      </c>
      <c r="S219" s="1">
        <v>45979</v>
      </c>
      <c r="T219" s="1">
        <v>45980</v>
      </c>
      <c r="U219" s="1">
        <v>45981</v>
      </c>
      <c r="V219" s="1">
        <v>45982</v>
      </c>
      <c r="W219" s="1">
        <v>45983</v>
      </c>
      <c r="X219" s="1">
        <v>45984</v>
      </c>
      <c r="Y219" s="1">
        <v>45985</v>
      </c>
      <c r="Z219" s="1">
        <v>45986</v>
      </c>
      <c r="AA219" s="1">
        <v>45987</v>
      </c>
      <c r="AB219" s="1">
        <v>45988</v>
      </c>
      <c r="AC219" s="1">
        <v>45989</v>
      </c>
      <c r="AD219" s="1">
        <v>45990</v>
      </c>
      <c r="AE219" s="1">
        <v>45991</v>
      </c>
    </row>
    <row r="220" spans="1:36" hidden="1" x14ac:dyDescent="0.3">
      <c r="A220" s="2" t="s">
        <v>5</v>
      </c>
      <c r="C220">
        <v>55</v>
      </c>
      <c r="E220">
        <v>27</v>
      </c>
      <c r="F220">
        <v>55</v>
      </c>
      <c r="H220">
        <v>55</v>
      </c>
      <c r="J220">
        <v>24</v>
      </c>
      <c r="K220">
        <v>27</v>
      </c>
      <c r="L220">
        <v>55</v>
      </c>
      <c r="N220">
        <v>27</v>
      </c>
      <c r="O220">
        <v>55</v>
      </c>
      <c r="Q220">
        <v>55</v>
      </c>
      <c r="R220">
        <v>27</v>
      </c>
      <c r="T220">
        <v>27</v>
      </c>
      <c r="V220">
        <v>55</v>
      </c>
      <c r="X220">
        <v>26.5</v>
      </c>
      <c r="Y220">
        <v>55</v>
      </c>
      <c r="Z220">
        <v>0</v>
      </c>
      <c r="AA220">
        <v>27</v>
      </c>
      <c r="AB220">
        <v>57</v>
      </c>
      <c r="AC220">
        <v>55</v>
      </c>
      <c r="AE220">
        <v>27</v>
      </c>
      <c r="AH220">
        <f>SUM(B220:AE220)</f>
        <v>791.5</v>
      </c>
      <c r="AI220" s="2" t="s">
        <v>5</v>
      </c>
    </row>
    <row r="221" spans="1:36" hidden="1" x14ac:dyDescent="0.3">
      <c r="A221" s="2" t="s">
        <v>91</v>
      </c>
      <c r="P221">
        <v>5</v>
      </c>
      <c r="W221">
        <v>5</v>
      </c>
      <c r="AH221">
        <f>SUM(B221:AE221)</f>
        <v>10</v>
      </c>
      <c r="AI221" s="2" t="s">
        <v>91</v>
      </c>
    </row>
    <row r="222" spans="1:36" hidden="1" x14ac:dyDescent="0.3">
      <c r="A222" s="2" t="s">
        <v>0</v>
      </c>
      <c r="C222" s="5">
        <v>200</v>
      </c>
      <c r="X222">
        <v>1200</v>
      </c>
      <c r="Z222">
        <v>200</v>
      </c>
      <c r="AH222">
        <f t="shared" ref="AH222:AH239" si="10">SUM(B222:AE222)</f>
        <v>1600</v>
      </c>
      <c r="AI222" s="2" t="s">
        <v>0</v>
      </c>
    </row>
    <row r="223" spans="1:36" hidden="1" x14ac:dyDescent="0.3">
      <c r="A223" s="2" t="s">
        <v>16</v>
      </c>
      <c r="F223">
        <v>127.75</v>
      </c>
      <c r="K223">
        <v>75</v>
      </c>
      <c r="N223">
        <v>71</v>
      </c>
      <c r="O223">
        <v>100</v>
      </c>
      <c r="Q223">
        <v>585</v>
      </c>
      <c r="T223">
        <v>15</v>
      </c>
      <c r="X223">
        <v>18.5</v>
      </c>
      <c r="Y223">
        <v>70</v>
      </c>
      <c r="AD223">
        <v>16</v>
      </c>
      <c r="AH223">
        <f t="shared" si="10"/>
        <v>1078.25</v>
      </c>
      <c r="AI223" s="2" t="s">
        <v>16</v>
      </c>
    </row>
    <row r="224" spans="1:36" hidden="1" x14ac:dyDescent="0.3">
      <c r="A224" s="2" t="s">
        <v>33</v>
      </c>
      <c r="AD224">
        <v>300</v>
      </c>
      <c r="AH224">
        <f t="shared" si="10"/>
        <v>300</v>
      </c>
      <c r="AI224" s="2" t="s">
        <v>33</v>
      </c>
    </row>
    <row r="225" spans="1:36" hidden="1" x14ac:dyDescent="0.3">
      <c r="A225" s="2" t="s">
        <v>18</v>
      </c>
      <c r="F225">
        <v>619</v>
      </c>
      <c r="G225">
        <v>80</v>
      </c>
      <c r="L225">
        <v>504</v>
      </c>
      <c r="O225">
        <v>10</v>
      </c>
      <c r="P225">
        <v>230</v>
      </c>
      <c r="Q225">
        <v>1153</v>
      </c>
      <c r="R225">
        <v>320</v>
      </c>
      <c r="S225">
        <v>799</v>
      </c>
      <c r="X225">
        <v>1182.79</v>
      </c>
      <c r="Y225">
        <v>180</v>
      </c>
      <c r="AH225">
        <f t="shared" si="10"/>
        <v>5077.79</v>
      </c>
      <c r="AI225" s="2" t="s">
        <v>18</v>
      </c>
    </row>
    <row r="226" spans="1:36" hidden="1" x14ac:dyDescent="0.3">
      <c r="A226" s="2" t="s">
        <v>2</v>
      </c>
      <c r="F226">
        <v>76.59</v>
      </c>
      <c r="J226">
        <v>23</v>
      </c>
      <c r="L226">
        <v>100</v>
      </c>
      <c r="N226">
        <v>20</v>
      </c>
      <c r="Q226">
        <v>30</v>
      </c>
      <c r="T226">
        <v>34</v>
      </c>
      <c r="W226">
        <v>23</v>
      </c>
      <c r="Y226">
        <v>78.680000000000007</v>
      </c>
      <c r="AD226">
        <v>33</v>
      </c>
      <c r="AH226">
        <f t="shared" si="10"/>
        <v>418.27000000000004</v>
      </c>
      <c r="AI226" s="2" t="s">
        <v>2</v>
      </c>
    </row>
    <row r="227" spans="1:36" hidden="1" x14ac:dyDescent="0.3">
      <c r="A227" s="2" t="s">
        <v>19</v>
      </c>
      <c r="G227">
        <v>38</v>
      </c>
      <c r="J227">
        <v>20</v>
      </c>
      <c r="P227">
        <v>50</v>
      </c>
      <c r="Q227">
        <v>112.5</v>
      </c>
      <c r="V227">
        <v>35</v>
      </c>
      <c r="X227">
        <v>70</v>
      </c>
      <c r="Y227">
        <v>40</v>
      </c>
      <c r="AA227">
        <v>10</v>
      </c>
      <c r="AH227">
        <f t="shared" si="10"/>
        <v>375.5</v>
      </c>
      <c r="AI227" s="2" t="s">
        <v>19</v>
      </c>
    </row>
    <row r="228" spans="1:36" hidden="1" x14ac:dyDescent="0.3">
      <c r="A228" s="2" t="s">
        <v>7</v>
      </c>
      <c r="E228">
        <v>50</v>
      </c>
      <c r="F228">
        <v>20</v>
      </c>
      <c r="K228">
        <v>50</v>
      </c>
      <c r="W228">
        <v>30</v>
      </c>
      <c r="X228">
        <v>70</v>
      </c>
      <c r="Z228">
        <v>50</v>
      </c>
      <c r="AH228">
        <f t="shared" si="10"/>
        <v>270</v>
      </c>
      <c r="AI228" s="2" t="s">
        <v>7</v>
      </c>
    </row>
    <row r="229" spans="1:36" hidden="1" x14ac:dyDescent="0.3">
      <c r="A229" s="2" t="s">
        <v>15</v>
      </c>
      <c r="K229">
        <v>455</v>
      </c>
      <c r="L229">
        <v>391</v>
      </c>
      <c r="M229">
        <v>273</v>
      </c>
      <c r="N229">
        <v>551</v>
      </c>
      <c r="AH229">
        <f t="shared" si="10"/>
        <v>1670</v>
      </c>
      <c r="AI229" s="2" t="s">
        <v>15</v>
      </c>
    </row>
    <row r="230" spans="1:36" hidden="1" x14ac:dyDescent="0.3">
      <c r="A230" s="2" t="s">
        <v>13</v>
      </c>
      <c r="K230">
        <v>392</v>
      </c>
      <c r="L230">
        <v>373</v>
      </c>
      <c r="AH230">
        <f t="shared" si="10"/>
        <v>765</v>
      </c>
      <c r="AI230" s="2" t="s">
        <v>13</v>
      </c>
    </row>
    <row r="231" spans="1:36" hidden="1" x14ac:dyDescent="0.3">
      <c r="A231" s="2" t="s">
        <v>92</v>
      </c>
      <c r="I231">
        <v>3800</v>
      </c>
      <c r="AH231">
        <f t="shared" si="10"/>
        <v>3800</v>
      </c>
      <c r="AI231" s="2" t="s">
        <v>92</v>
      </c>
    </row>
    <row r="232" spans="1:36" hidden="1" x14ac:dyDescent="0.3">
      <c r="A232" s="2" t="s">
        <v>53</v>
      </c>
      <c r="C232">
        <v>35</v>
      </c>
      <c r="AH232">
        <f t="shared" si="10"/>
        <v>35</v>
      </c>
      <c r="AI232" s="2" t="s">
        <v>53</v>
      </c>
    </row>
    <row r="233" spans="1:36" hidden="1" x14ac:dyDescent="0.3">
      <c r="A233" s="2" t="s">
        <v>20</v>
      </c>
      <c r="Q233">
        <v>40</v>
      </c>
      <c r="T233">
        <v>120</v>
      </c>
      <c r="AE233">
        <v>40</v>
      </c>
      <c r="AH233">
        <f t="shared" si="10"/>
        <v>200</v>
      </c>
      <c r="AI233" s="2" t="s">
        <v>20</v>
      </c>
    </row>
    <row r="234" spans="1:36" hidden="1" x14ac:dyDescent="0.3">
      <c r="A234" s="2" t="s">
        <v>98</v>
      </c>
      <c r="X234">
        <v>20</v>
      </c>
      <c r="AH234">
        <f t="shared" si="10"/>
        <v>20</v>
      </c>
      <c r="AI234" s="2" t="s">
        <v>98</v>
      </c>
    </row>
    <row r="235" spans="1:36" x14ac:dyDescent="0.3">
      <c r="A235" s="2" t="s">
        <v>12</v>
      </c>
      <c r="B235">
        <v>400</v>
      </c>
      <c r="M235">
        <v>30</v>
      </c>
      <c r="Q235">
        <v>100</v>
      </c>
      <c r="V235">
        <v>30</v>
      </c>
      <c r="AA235">
        <v>81</v>
      </c>
      <c r="AB235">
        <v>150</v>
      </c>
      <c r="AE235">
        <v>200</v>
      </c>
      <c r="AH235">
        <f t="shared" si="10"/>
        <v>991</v>
      </c>
      <c r="AI235" s="2" t="s">
        <v>12</v>
      </c>
    </row>
    <row r="236" spans="1:36" hidden="1" x14ac:dyDescent="0.3">
      <c r="A236" s="2" t="s">
        <v>8</v>
      </c>
      <c r="T236">
        <v>29</v>
      </c>
      <c r="Y236">
        <v>319</v>
      </c>
      <c r="AB236">
        <v>900</v>
      </c>
      <c r="AC236">
        <v>200</v>
      </c>
      <c r="AH236">
        <f t="shared" si="10"/>
        <v>1448</v>
      </c>
      <c r="AI236" s="2" t="s">
        <v>8</v>
      </c>
    </row>
    <row r="237" spans="1:36" hidden="1" x14ac:dyDescent="0.3">
      <c r="A237" s="2" t="s">
        <v>10</v>
      </c>
      <c r="C237">
        <v>500</v>
      </c>
      <c r="AE237">
        <v>500</v>
      </c>
      <c r="AH237">
        <f t="shared" si="10"/>
        <v>1000</v>
      </c>
      <c r="AI237" s="2" t="s">
        <v>10</v>
      </c>
    </row>
    <row r="238" spans="1:36" hidden="1" x14ac:dyDescent="0.3">
      <c r="A238" s="2" t="s">
        <v>4</v>
      </c>
      <c r="O238">
        <v>30</v>
      </c>
      <c r="T238">
        <v>60</v>
      </c>
      <c r="AA238">
        <v>25</v>
      </c>
      <c r="AB238">
        <v>60</v>
      </c>
      <c r="AH238">
        <f t="shared" si="10"/>
        <v>175</v>
      </c>
      <c r="AI238" s="2" t="s">
        <v>4</v>
      </c>
    </row>
    <row r="239" spans="1:36" hidden="1" x14ac:dyDescent="0.3">
      <c r="A239" s="2" t="s">
        <v>89</v>
      </c>
      <c r="G239" s="13">
        <v>300</v>
      </c>
      <c r="H239" s="13">
        <v>168</v>
      </c>
      <c r="K239" s="13">
        <v>31</v>
      </c>
      <c r="L239" s="13">
        <v>110</v>
      </c>
      <c r="N239" s="13">
        <v>10</v>
      </c>
      <c r="P239" s="13">
        <v>174</v>
      </c>
      <c r="R239" s="13">
        <v>10</v>
      </c>
      <c r="U239" s="13">
        <v>910</v>
      </c>
      <c r="AD239">
        <v>199</v>
      </c>
      <c r="AE239">
        <v>400</v>
      </c>
      <c r="AH239">
        <f t="shared" si="10"/>
        <v>2312</v>
      </c>
      <c r="AI239" s="2" t="s">
        <v>89</v>
      </c>
    </row>
    <row r="240" spans="1:36" hidden="1" x14ac:dyDescent="0.3">
      <c r="Q240" s="6">
        <f>SUM(B220:AE238)</f>
        <v>20025.310000000001</v>
      </c>
      <c r="AJ240">
        <f>SUM(AJ218,Q240)</f>
        <v>364881.48</v>
      </c>
    </row>
    <row r="241" spans="1:35" hidden="1" x14ac:dyDescent="0.3">
      <c r="B241" s="1">
        <v>45992</v>
      </c>
      <c r="C241" s="1">
        <v>45993</v>
      </c>
      <c r="D241" s="1">
        <v>45994</v>
      </c>
      <c r="E241" s="1">
        <v>45995</v>
      </c>
      <c r="F241" s="1">
        <v>45996</v>
      </c>
      <c r="G241" s="1">
        <v>45997</v>
      </c>
      <c r="H241" s="1">
        <v>45998</v>
      </c>
      <c r="I241" s="1">
        <v>45999</v>
      </c>
      <c r="J241" s="1">
        <v>46000</v>
      </c>
      <c r="K241" s="1">
        <v>46001</v>
      </c>
      <c r="L241" s="1">
        <v>46002</v>
      </c>
      <c r="M241" s="1">
        <v>46003</v>
      </c>
      <c r="N241" s="1">
        <v>46004</v>
      </c>
      <c r="O241" s="1">
        <v>46005</v>
      </c>
      <c r="P241" s="1">
        <v>46006</v>
      </c>
      <c r="Q241" s="1">
        <v>46007</v>
      </c>
      <c r="R241" s="1">
        <v>46008</v>
      </c>
      <c r="S241" s="1">
        <v>46009</v>
      </c>
      <c r="T241" s="1">
        <v>46010</v>
      </c>
      <c r="U241" s="1">
        <v>46011</v>
      </c>
      <c r="V241" s="1">
        <v>46012</v>
      </c>
      <c r="W241" s="1">
        <v>46013</v>
      </c>
      <c r="X241" s="1">
        <v>46014</v>
      </c>
      <c r="Y241" s="1">
        <v>46015</v>
      </c>
      <c r="Z241" s="1">
        <v>46016</v>
      </c>
      <c r="AA241" s="1">
        <v>46017</v>
      </c>
      <c r="AB241" s="1">
        <v>46018</v>
      </c>
      <c r="AC241" s="1">
        <v>46019</v>
      </c>
      <c r="AD241" s="1">
        <v>46020</v>
      </c>
      <c r="AE241" s="1">
        <v>46021</v>
      </c>
      <c r="AF241" s="1">
        <v>46022</v>
      </c>
    </row>
    <row r="242" spans="1:35" hidden="1" x14ac:dyDescent="0.3">
      <c r="A242" s="2" t="s">
        <v>5</v>
      </c>
      <c r="C242">
        <v>26</v>
      </c>
      <c r="D242">
        <v>55</v>
      </c>
      <c r="E242">
        <v>27</v>
      </c>
      <c r="F242">
        <v>27</v>
      </c>
      <c r="G242">
        <v>27</v>
      </c>
      <c r="I242">
        <v>54</v>
      </c>
      <c r="J242">
        <v>27</v>
      </c>
      <c r="K242">
        <v>55</v>
      </c>
      <c r="L242">
        <v>27</v>
      </c>
      <c r="M242">
        <v>54</v>
      </c>
      <c r="O242">
        <v>27</v>
      </c>
      <c r="P242">
        <v>28</v>
      </c>
      <c r="Q242">
        <v>27</v>
      </c>
      <c r="R242">
        <v>27</v>
      </c>
      <c r="T242">
        <v>27</v>
      </c>
      <c r="U242">
        <v>27</v>
      </c>
      <c r="V242">
        <v>28</v>
      </c>
      <c r="W242">
        <v>27</v>
      </c>
      <c r="X242">
        <v>27</v>
      </c>
      <c r="Y242">
        <v>27</v>
      </c>
      <c r="Z242">
        <v>0</v>
      </c>
      <c r="AA242">
        <v>55</v>
      </c>
      <c r="AC242">
        <v>55</v>
      </c>
      <c r="AD242">
        <v>27</v>
      </c>
      <c r="AF242">
        <v>28</v>
      </c>
      <c r="AH242">
        <f>SUM(B242:AF242)</f>
        <v>816</v>
      </c>
      <c r="AI242" s="2" t="s">
        <v>5</v>
      </c>
    </row>
    <row r="243" spans="1:35" hidden="1" x14ac:dyDescent="0.3">
      <c r="A243" s="2" t="s">
        <v>91</v>
      </c>
      <c r="N243">
        <v>5</v>
      </c>
      <c r="AH243">
        <f>SUM(B243:AF243)</f>
        <v>5</v>
      </c>
      <c r="AI243" s="2" t="s">
        <v>91</v>
      </c>
    </row>
    <row r="244" spans="1:35" hidden="1" x14ac:dyDescent="0.3">
      <c r="A244" s="2" t="s">
        <v>0</v>
      </c>
      <c r="F244">
        <v>200</v>
      </c>
      <c r="M244">
        <v>200</v>
      </c>
      <c r="P244">
        <v>1000</v>
      </c>
      <c r="X244">
        <v>200</v>
      </c>
      <c r="AF244" s="5">
        <v>200</v>
      </c>
      <c r="AH244">
        <f t="shared" ref="AH244:AH261" si="11">SUM(B244:AF244)</f>
        <v>1800</v>
      </c>
      <c r="AI244" s="2" t="s">
        <v>0</v>
      </c>
    </row>
    <row r="245" spans="1:35" hidden="1" x14ac:dyDescent="0.3">
      <c r="A245" s="2" t="s">
        <v>16</v>
      </c>
      <c r="C245">
        <v>30</v>
      </c>
      <c r="H245">
        <v>332.6</v>
      </c>
      <c r="K245">
        <v>44</v>
      </c>
      <c r="M245">
        <v>130</v>
      </c>
      <c r="N245">
        <v>41</v>
      </c>
      <c r="Q245">
        <v>130</v>
      </c>
      <c r="T245">
        <v>21</v>
      </c>
      <c r="V245">
        <v>384</v>
      </c>
      <c r="AA245">
        <v>190</v>
      </c>
      <c r="AE245">
        <v>89</v>
      </c>
      <c r="AH245">
        <f t="shared" si="11"/>
        <v>1391.6</v>
      </c>
      <c r="AI245" s="2" t="s">
        <v>16</v>
      </c>
    </row>
    <row r="246" spans="1:35" hidden="1" x14ac:dyDescent="0.3">
      <c r="A246" s="2" t="s">
        <v>34</v>
      </c>
      <c r="R246">
        <v>89</v>
      </c>
      <c r="V246">
        <v>150</v>
      </c>
      <c r="AH246">
        <f t="shared" si="11"/>
        <v>239</v>
      </c>
      <c r="AI246" s="2" t="s">
        <v>34</v>
      </c>
    </row>
    <row r="247" spans="1:35" hidden="1" x14ac:dyDescent="0.3">
      <c r="A247" s="2" t="s">
        <v>18</v>
      </c>
      <c r="G247">
        <v>50</v>
      </c>
      <c r="H247">
        <v>911.25</v>
      </c>
      <c r="I247">
        <v>88.4</v>
      </c>
      <c r="N247">
        <v>150</v>
      </c>
      <c r="Q247">
        <v>573.72</v>
      </c>
      <c r="R247">
        <v>649</v>
      </c>
      <c r="S247">
        <v>383</v>
      </c>
      <c r="AD247">
        <v>60</v>
      </c>
      <c r="AH247">
        <f t="shared" si="11"/>
        <v>2865.37</v>
      </c>
      <c r="AI247" s="2" t="s">
        <v>18</v>
      </c>
    </row>
    <row r="248" spans="1:35" hidden="1" x14ac:dyDescent="0.3">
      <c r="A248" s="2" t="s">
        <v>2</v>
      </c>
      <c r="C248">
        <v>66</v>
      </c>
      <c r="F248">
        <v>70</v>
      </c>
      <c r="H248">
        <v>30</v>
      </c>
      <c r="K248">
        <v>57</v>
      </c>
      <c r="N248">
        <v>84</v>
      </c>
      <c r="O248">
        <v>50</v>
      </c>
      <c r="T248">
        <v>60</v>
      </c>
      <c r="V248">
        <v>20</v>
      </c>
      <c r="AA248">
        <v>30</v>
      </c>
      <c r="AC248">
        <v>20</v>
      </c>
      <c r="AE248">
        <v>30</v>
      </c>
      <c r="AH248">
        <f t="shared" si="11"/>
        <v>517</v>
      </c>
      <c r="AI248" s="2" t="s">
        <v>2</v>
      </c>
    </row>
    <row r="249" spans="1:35" hidden="1" x14ac:dyDescent="0.3">
      <c r="A249" s="2" t="s">
        <v>19</v>
      </c>
      <c r="B249">
        <v>30</v>
      </c>
      <c r="C249">
        <v>35</v>
      </c>
      <c r="E249">
        <v>62.5</v>
      </c>
      <c r="G249">
        <v>35</v>
      </c>
      <c r="H249">
        <v>110</v>
      </c>
      <c r="L249">
        <v>30</v>
      </c>
      <c r="O249">
        <v>22</v>
      </c>
      <c r="R249">
        <v>40</v>
      </c>
      <c r="U249">
        <v>180</v>
      </c>
      <c r="Z249">
        <v>30</v>
      </c>
      <c r="AA249">
        <v>20</v>
      </c>
      <c r="AD249">
        <v>22</v>
      </c>
      <c r="AF249">
        <v>30</v>
      </c>
      <c r="AH249">
        <f t="shared" si="11"/>
        <v>646.5</v>
      </c>
      <c r="AI249" s="2" t="s">
        <v>19</v>
      </c>
    </row>
    <row r="250" spans="1:35" hidden="1" x14ac:dyDescent="0.3">
      <c r="A250" s="2" t="s">
        <v>7</v>
      </c>
      <c r="C250">
        <v>30</v>
      </c>
      <c r="F250">
        <v>40</v>
      </c>
      <c r="J250">
        <v>30</v>
      </c>
      <c r="N250">
        <v>30</v>
      </c>
      <c r="T250">
        <v>30</v>
      </c>
      <c r="V250">
        <v>40</v>
      </c>
      <c r="AD250">
        <v>20</v>
      </c>
      <c r="AH250">
        <f t="shared" si="11"/>
        <v>220</v>
      </c>
      <c r="AI250" s="2" t="s">
        <v>7</v>
      </c>
    </row>
    <row r="251" spans="1:35" hidden="1" x14ac:dyDescent="0.3">
      <c r="A251" s="2" t="s">
        <v>15</v>
      </c>
      <c r="K251">
        <v>383</v>
      </c>
      <c r="L251">
        <v>439</v>
      </c>
      <c r="M251">
        <v>584</v>
      </c>
      <c r="N251">
        <v>281</v>
      </c>
      <c r="AH251">
        <f t="shared" si="11"/>
        <v>1687</v>
      </c>
      <c r="AI251" s="2" t="s">
        <v>15</v>
      </c>
    </row>
    <row r="252" spans="1:35" hidden="1" x14ac:dyDescent="0.3">
      <c r="A252" s="2" t="s">
        <v>13</v>
      </c>
      <c r="K252">
        <v>128</v>
      </c>
      <c r="L252">
        <v>128</v>
      </c>
      <c r="AH252">
        <f t="shared" si="11"/>
        <v>256</v>
      </c>
      <c r="AI252" s="2" t="s">
        <v>13</v>
      </c>
    </row>
    <row r="253" spans="1:35" hidden="1" x14ac:dyDescent="0.3">
      <c r="A253" s="2" t="s">
        <v>17</v>
      </c>
      <c r="X253">
        <v>33.299999999999997</v>
      </c>
      <c r="AB253">
        <v>170</v>
      </c>
      <c r="AH253">
        <f t="shared" si="11"/>
        <v>203.3</v>
      </c>
      <c r="AI253" s="2" t="s">
        <v>92</v>
      </c>
    </row>
    <row r="254" spans="1:35" hidden="1" x14ac:dyDescent="0.3">
      <c r="A254" s="2" t="s">
        <v>11</v>
      </c>
      <c r="N254">
        <v>950</v>
      </c>
      <c r="AH254">
        <f t="shared" si="11"/>
        <v>950</v>
      </c>
      <c r="AI254" s="2" t="s">
        <v>54</v>
      </c>
    </row>
    <row r="255" spans="1:35" hidden="1" x14ac:dyDescent="0.3">
      <c r="A255" s="2" t="s">
        <v>20</v>
      </c>
      <c r="F255">
        <v>40</v>
      </c>
      <c r="N255">
        <v>170</v>
      </c>
      <c r="V255">
        <v>40</v>
      </c>
      <c r="X255">
        <v>20</v>
      </c>
      <c r="AD255">
        <v>6</v>
      </c>
      <c r="AE255">
        <v>95</v>
      </c>
      <c r="AF255">
        <v>750</v>
      </c>
      <c r="AH255">
        <f t="shared" si="11"/>
        <v>1121</v>
      </c>
      <c r="AI255" s="2" t="s">
        <v>20</v>
      </c>
    </row>
    <row r="256" spans="1:35" hidden="1" x14ac:dyDescent="0.3">
      <c r="A256" s="2" t="s">
        <v>98</v>
      </c>
      <c r="W256">
        <v>20</v>
      </c>
      <c r="Y256">
        <v>70</v>
      </c>
      <c r="AB256">
        <v>120</v>
      </c>
      <c r="AE256">
        <v>20</v>
      </c>
      <c r="AH256">
        <f t="shared" si="11"/>
        <v>230</v>
      </c>
      <c r="AI256" s="2" t="s">
        <v>98</v>
      </c>
    </row>
    <row r="257" spans="1:36" x14ac:dyDescent="0.3">
      <c r="A257" s="2" t="s">
        <v>12</v>
      </c>
      <c r="B257">
        <v>12</v>
      </c>
      <c r="C257">
        <v>150</v>
      </c>
      <c r="E257">
        <v>80</v>
      </c>
      <c r="G257">
        <v>25</v>
      </c>
      <c r="J257">
        <v>66</v>
      </c>
      <c r="Q257">
        <v>10</v>
      </c>
      <c r="R257">
        <v>35</v>
      </c>
      <c r="V257">
        <v>150</v>
      </c>
      <c r="AD257">
        <v>125</v>
      </c>
      <c r="AF257">
        <v>722</v>
      </c>
      <c r="AH257">
        <f t="shared" si="11"/>
        <v>1375</v>
      </c>
      <c r="AI257" s="2" t="s">
        <v>12</v>
      </c>
    </row>
    <row r="258" spans="1:36" hidden="1" x14ac:dyDescent="0.3">
      <c r="A258" s="2" t="s">
        <v>8</v>
      </c>
      <c r="J258">
        <v>15</v>
      </c>
      <c r="V258">
        <v>19</v>
      </c>
      <c r="AC258">
        <v>18</v>
      </c>
      <c r="AH258">
        <f t="shared" si="11"/>
        <v>52</v>
      </c>
      <c r="AI258" s="2" t="s">
        <v>8</v>
      </c>
    </row>
    <row r="259" spans="1:36" hidden="1" x14ac:dyDescent="0.3">
      <c r="A259" s="2" t="s">
        <v>10</v>
      </c>
      <c r="V259">
        <v>300</v>
      </c>
      <c r="X259">
        <v>623</v>
      </c>
      <c r="AH259">
        <f t="shared" si="11"/>
        <v>923</v>
      </c>
      <c r="AI259" s="2" t="s">
        <v>10</v>
      </c>
    </row>
    <row r="260" spans="1:36" hidden="1" x14ac:dyDescent="0.3">
      <c r="A260" s="2" t="s">
        <v>4</v>
      </c>
      <c r="J260">
        <v>500</v>
      </c>
      <c r="M260">
        <v>660</v>
      </c>
      <c r="R260">
        <v>581</v>
      </c>
      <c r="Z260">
        <v>50</v>
      </c>
      <c r="AH260">
        <f t="shared" si="11"/>
        <v>1791</v>
      </c>
      <c r="AI260" s="2" t="s">
        <v>4</v>
      </c>
    </row>
    <row r="261" spans="1:36" hidden="1" x14ac:dyDescent="0.3">
      <c r="A261" s="2" t="s">
        <v>89</v>
      </c>
      <c r="C261">
        <v>2</v>
      </c>
      <c r="H261">
        <v>63</v>
      </c>
      <c r="M261">
        <v>168</v>
      </c>
      <c r="P261">
        <v>145</v>
      </c>
      <c r="W261">
        <v>53</v>
      </c>
      <c r="X261">
        <v>76</v>
      </c>
      <c r="AC261">
        <v>20</v>
      </c>
      <c r="AE261">
        <v>26</v>
      </c>
      <c r="AH261">
        <f t="shared" si="11"/>
        <v>553</v>
      </c>
      <c r="AI261" s="2" t="s">
        <v>89</v>
      </c>
    </row>
    <row r="262" spans="1:36" hidden="1" x14ac:dyDescent="0.3">
      <c r="Q262" s="6">
        <f>SUM(B242:AF260)</f>
        <v>17088.77</v>
      </c>
      <c r="AJ262">
        <f>SUM(AJ240,Q262)</f>
        <v>381970.25</v>
      </c>
    </row>
    <row r="263" spans="1:36" x14ac:dyDescent="0.3">
      <c r="AJ263">
        <v>24000</v>
      </c>
    </row>
    <row r="264" spans="1:36" x14ac:dyDescent="0.3">
      <c r="AJ264">
        <f>SUM(AJ262:AJ263)</f>
        <v>405970.25</v>
      </c>
    </row>
  </sheetData>
  <autoFilter ref="A1:AF262" xr:uid="{22D8B105-7B1D-4CC9-AC70-0A198640A3CC}">
    <filterColumn colId="0">
      <filters>
        <filter val="Sahana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C94F-A213-4720-95FA-D2049096F275}">
  <dimension ref="A1:AK119"/>
  <sheetViews>
    <sheetView tabSelected="1" topLeftCell="Q93" zoomScaleNormal="100" workbookViewId="0">
      <selection activeCell="AA118" sqref="AA118"/>
    </sheetView>
  </sheetViews>
  <sheetFormatPr defaultRowHeight="14.4" x14ac:dyDescent="0.3"/>
  <cols>
    <col min="1" max="1" width="10.44140625" customWidth="1"/>
    <col min="2" max="5" width="9.77734375" bestFit="1" customWidth="1"/>
    <col min="6" max="9" width="10" bestFit="1" customWidth="1"/>
    <col min="10" max="32" width="9.6640625" bestFit="1" customWidth="1"/>
    <col min="36" max="36" width="19.88671875" customWidth="1"/>
  </cols>
  <sheetData>
    <row r="1" spans="1:37" x14ac:dyDescent="0.3">
      <c r="B1" s="1">
        <v>46023</v>
      </c>
      <c r="C1" s="1">
        <v>46024</v>
      </c>
      <c r="D1" s="1">
        <v>46025</v>
      </c>
      <c r="E1" s="1">
        <v>46026</v>
      </c>
      <c r="F1" s="1">
        <v>46027</v>
      </c>
      <c r="G1" s="1">
        <v>46028</v>
      </c>
      <c r="H1" s="1">
        <v>46029</v>
      </c>
      <c r="I1" s="1">
        <v>46030</v>
      </c>
      <c r="J1" s="1">
        <v>46031</v>
      </c>
      <c r="K1" s="1">
        <v>46032</v>
      </c>
      <c r="L1" s="1">
        <v>46033</v>
      </c>
      <c r="M1" s="1">
        <v>46034</v>
      </c>
      <c r="N1" s="1">
        <v>46035</v>
      </c>
      <c r="O1" s="1">
        <v>46036</v>
      </c>
      <c r="P1" s="1">
        <v>46037</v>
      </c>
      <c r="Q1" s="1">
        <v>46038</v>
      </c>
      <c r="R1" s="1">
        <v>46039</v>
      </c>
      <c r="S1" s="1">
        <v>46040</v>
      </c>
      <c r="T1" s="1">
        <v>46041</v>
      </c>
      <c r="U1" s="1">
        <v>46042</v>
      </c>
      <c r="V1" s="1">
        <v>46043</v>
      </c>
      <c r="W1" s="1">
        <v>46044</v>
      </c>
      <c r="X1" s="1">
        <v>46045</v>
      </c>
      <c r="Y1" s="1">
        <v>46046</v>
      </c>
      <c r="Z1" s="1">
        <v>46047</v>
      </c>
      <c r="AA1" s="1">
        <v>46048</v>
      </c>
      <c r="AB1" s="1">
        <v>46049</v>
      </c>
      <c r="AC1" s="1">
        <v>46050</v>
      </c>
      <c r="AD1" s="1">
        <v>46051</v>
      </c>
      <c r="AE1" s="1">
        <v>46052</v>
      </c>
      <c r="AF1" s="1">
        <v>46053</v>
      </c>
      <c r="AK1">
        <v>15</v>
      </c>
    </row>
    <row r="2" spans="1:37" x14ac:dyDescent="0.3">
      <c r="A2" s="2" t="s">
        <v>5</v>
      </c>
      <c r="B2">
        <v>28</v>
      </c>
      <c r="D2">
        <v>28</v>
      </c>
      <c r="E2">
        <v>28</v>
      </c>
      <c r="F2">
        <v>27</v>
      </c>
      <c r="H2">
        <v>55</v>
      </c>
      <c r="J2">
        <v>55</v>
      </c>
      <c r="K2">
        <v>27</v>
      </c>
      <c r="M2">
        <v>27</v>
      </c>
      <c r="N2">
        <v>28</v>
      </c>
      <c r="O2">
        <v>27</v>
      </c>
      <c r="R2">
        <v>28</v>
      </c>
      <c r="S2">
        <v>55</v>
      </c>
      <c r="T2">
        <v>0</v>
      </c>
      <c r="V2">
        <v>28</v>
      </c>
      <c r="X2">
        <v>55</v>
      </c>
      <c r="Z2">
        <v>28</v>
      </c>
      <c r="AA2">
        <v>27</v>
      </c>
      <c r="AC2">
        <v>28</v>
      </c>
      <c r="AD2">
        <v>56</v>
      </c>
      <c r="AF2">
        <v>55</v>
      </c>
      <c r="AH2">
        <f t="shared" ref="AH2:AH20" si="0">SUM(B2:AF2)</f>
        <v>690</v>
      </c>
      <c r="AI2" s="2" t="s">
        <v>5</v>
      </c>
      <c r="AK2">
        <v>324</v>
      </c>
    </row>
    <row r="3" spans="1:37" x14ac:dyDescent="0.3">
      <c r="A3" t="s">
        <v>91</v>
      </c>
      <c r="D3">
        <v>5</v>
      </c>
      <c r="E3">
        <v>5</v>
      </c>
      <c r="K3">
        <v>5</v>
      </c>
      <c r="AH3">
        <f t="shared" si="0"/>
        <v>15</v>
      </c>
      <c r="AI3" t="s">
        <v>91</v>
      </c>
      <c r="AK3">
        <v>116.23</v>
      </c>
    </row>
    <row r="4" spans="1:37" x14ac:dyDescent="0.3">
      <c r="A4" s="2" t="s">
        <v>0</v>
      </c>
      <c r="F4">
        <v>200</v>
      </c>
      <c r="Q4" s="5">
        <v>200</v>
      </c>
      <c r="V4">
        <v>200</v>
      </c>
      <c r="AH4">
        <f t="shared" si="0"/>
        <v>600</v>
      </c>
      <c r="AI4" s="2" t="s">
        <v>0</v>
      </c>
      <c r="AK4">
        <v>41.68</v>
      </c>
    </row>
    <row r="5" spans="1:37" x14ac:dyDescent="0.3">
      <c r="A5" s="2" t="s">
        <v>16</v>
      </c>
      <c r="B5">
        <v>105</v>
      </c>
      <c r="C5">
        <v>50</v>
      </c>
      <c r="E5">
        <v>20</v>
      </c>
      <c r="F5">
        <v>52</v>
      </c>
      <c r="G5">
        <v>45</v>
      </c>
      <c r="K5">
        <v>40</v>
      </c>
      <c r="L5">
        <v>360</v>
      </c>
      <c r="M5">
        <v>50</v>
      </c>
      <c r="N5">
        <v>80</v>
      </c>
      <c r="S5">
        <v>119.5</v>
      </c>
      <c r="U5">
        <v>35</v>
      </c>
      <c r="V5">
        <v>90</v>
      </c>
      <c r="W5">
        <v>60</v>
      </c>
      <c r="Z5">
        <v>107.4</v>
      </c>
      <c r="AB5">
        <v>30</v>
      </c>
      <c r="AD5">
        <v>124.27</v>
      </c>
      <c r="AE5">
        <v>39</v>
      </c>
      <c r="AF5">
        <v>84.21</v>
      </c>
      <c r="AH5">
        <f>SUM(B5:AG5)</f>
        <v>1491.38</v>
      </c>
      <c r="AI5" s="2" t="s">
        <v>16</v>
      </c>
      <c r="AK5">
        <f>SUM(AK1:AK4)</f>
        <v>496.91</v>
      </c>
    </row>
    <row r="6" spans="1:37" x14ac:dyDescent="0.3">
      <c r="A6" s="2" t="s">
        <v>34</v>
      </c>
      <c r="K6">
        <v>295</v>
      </c>
      <c r="S6">
        <v>103.5</v>
      </c>
      <c r="AH6">
        <f t="shared" si="0"/>
        <v>398.5</v>
      </c>
      <c r="AI6" s="2" t="s">
        <v>34</v>
      </c>
    </row>
    <row r="7" spans="1:37" x14ac:dyDescent="0.3">
      <c r="A7" s="2" t="s">
        <v>18</v>
      </c>
      <c r="F7">
        <v>729</v>
      </c>
      <c r="H7">
        <v>969.18</v>
      </c>
      <c r="K7">
        <v>674</v>
      </c>
      <c r="S7">
        <v>620.5</v>
      </c>
      <c r="X7">
        <v>41.57</v>
      </c>
      <c r="Z7">
        <v>296.7</v>
      </c>
      <c r="AC7">
        <v>55.36</v>
      </c>
      <c r="AD7">
        <v>669</v>
      </c>
      <c r="AH7">
        <f>SUM(B7:AG7)</f>
        <v>4055.31</v>
      </c>
      <c r="AI7" s="2" t="s">
        <v>18</v>
      </c>
    </row>
    <row r="8" spans="1:37" x14ac:dyDescent="0.3">
      <c r="A8" s="2" t="s">
        <v>2</v>
      </c>
      <c r="B8">
        <v>23</v>
      </c>
      <c r="C8">
        <v>60</v>
      </c>
      <c r="F8">
        <v>18</v>
      </c>
      <c r="G8">
        <v>24</v>
      </c>
      <c r="H8">
        <v>59.5</v>
      </c>
      <c r="J8">
        <v>32</v>
      </c>
      <c r="L8">
        <v>24</v>
      </c>
      <c r="M8">
        <v>20</v>
      </c>
      <c r="N8">
        <v>106</v>
      </c>
      <c r="O8">
        <v>50</v>
      </c>
      <c r="S8">
        <v>31</v>
      </c>
      <c r="U8">
        <v>60</v>
      </c>
      <c r="W8">
        <v>251</v>
      </c>
      <c r="Y8">
        <v>32</v>
      </c>
      <c r="AB8">
        <v>20</v>
      </c>
      <c r="AD8">
        <v>28</v>
      </c>
      <c r="AE8">
        <v>17</v>
      </c>
      <c r="AF8">
        <v>167.4</v>
      </c>
      <c r="AH8">
        <f>SUM(B8:AG8)</f>
        <v>1022.9</v>
      </c>
      <c r="AI8" s="2" t="s">
        <v>2</v>
      </c>
    </row>
    <row r="9" spans="1:37" x14ac:dyDescent="0.3">
      <c r="A9" s="2" t="s">
        <v>19</v>
      </c>
      <c r="C9">
        <v>60</v>
      </c>
      <c r="E9">
        <v>41</v>
      </c>
      <c r="H9">
        <v>17.5</v>
      </c>
      <c r="I9">
        <v>45</v>
      </c>
      <c r="K9">
        <v>20</v>
      </c>
      <c r="X9">
        <v>68.2</v>
      </c>
      <c r="Z9">
        <v>165</v>
      </c>
      <c r="AC9">
        <v>20</v>
      </c>
      <c r="AE9">
        <v>30</v>
      </c>
      <c r="AF9">
        <v>147.5</v>
      </c>
      <c r="AH9">
        <f t="shared" si="0"/>
        <v>614.20000000000005</v>
      </c>
      <c r="AI9" s="2" t="s">
        <v>19</v>
      </c>
    </row>
    <row r="10" spans="1:37" x14ac:dyDescent="0.3">
      <c r="A10" s="2" t="s">
        <v>7</v>
      </c>
      <c r="C10">
        <v>50</v>
      </c>
      <c r="J10">
        <v>50</v>
      </c>
      <c r="L10">
        <v>100</v>
      </c>
      <c r="U10">
        <v>160</v>
      </c>
      <c r="AB10">
        <v>30</v>
      </c>
      <c r="AD10">
        <v>40</v>
      </c>
      <c r="AH10">
        <f t="shared" si="0"/>
        <v>430</v>
      </c>
      <c r="AI10" s="2" t="s">
        <v>7</v>
      </c>
    </row>
    <row r="11" spans="1:37" x14ac:dyDescent="0.3">
      <c r="A11" s="2" t="s">
        <v>15</v>
      </c>
      <c r="K11">
        <v>400</v>
      </c>
      <c r="L11">
        <v>384</v>
      </c>
      <c r="M11">
        <v>622</v>
      </c>
      <c r="N11">
        <v>282</v>
      </c>
      <c r="AH11">
        <f t="shared" si="0"/>
        <v>1688</v>
      </c>
      <c r="AI11" s="2" t="s">
        <v>15</v>
      </c>
    </row>
    <row r="12" spans="1:37" x14ac:dyDescent="0.3">
      <c r="A12" s="2" t="s">
        <v>13</v>
      </c>
      <c r="I12">
        <v>128</v>
      </c>
      <c r="J12">
        <v>128</v>
      </c>
      <c r="AH12">
        <f t="shared" si="0"/>
        <v>256</v>
      </c>
      <c r="AI12" s="2" t="s">
        <v>13</v>
      </c>
    </row>
    <row r="13" spans="1:37" x14ac:dyDescent="0.3">
      <c r="A13" s="2" t="s">
        <v>17</v>
      </c>
      <c r="H13">
        <v>824</v>
      </c>
      <c r="AH13">
        <f t="shared" si="0"/>
        <v>824</v>
      </c>
      <c r="AI13" s="2" t="s">
        <v>17</v>
      </c>
    </row>
    <row r="14" spans="1:37" x14ac:dyDescent="0.3">
      <c r="A14" s="2" t="s">
        <v>20</v>
      </c>
      <c r="K14">
        <v>920</v>
      </c>
      <c r="O14">
        <v>235</v>
      </c>
      <c r="U14">
        <v>25</v>
      </c>
      <c r="AE14">
        <v>270</v>
      </c>
      <c r="AH14">
        <f t="shared" si="0"/>
        <v>1450</v>
      </c>
      <c r="AI14" s="2" t="s">
        <v>20</v>
      </c>
    </row>
    <row r="15" spans="1:37" x14ac:dyDescent="0.3">
      <c r="A15" s="2" t="s">
        <v>53</v>
      </c>
      <c r="K15">
        <v>60</v>
      </c>
      <c r="O15">
        <v>100</v>
      </c>
      <c r="AH15">
        <f t="shared" si="0"/>
        <v>160</v>
      </c>
      <c r="AI15" s="2" t="s">
        <v>53</v>
      </c>
    </row>
    <row r="16" spans="1:37" x14ac:dyDescent="0.3">
      <c r="A16" s="2" t="s">
        <v>12</v>
      </c>
      <c r="H16">
        <v>60</v>
      </c>
      <c r="I16">
        <v>60</v>
      </c>
      <c r="J16">
        <v>40</v>
      </c>
      <c r="K16">
        <v>60</v>
      </c>
      <c r="U16">
        <v>25</v>
      </c>
      <c r="X16">
        <v>399.5</v>
      </c>
      <c r="AB16">
        <v>19</v>
      </c>
      <c r="AE16">
        <v>50</v>
      </c>
      <c r="AH16">
        <f t="shared" si="0"/>
        <v>713.5</v>
      </c>
      <c r="AI16" s="2" t="s">
        <v>12</v>
      </c>
    </row>
    <row r="17" spans="1:36" x14ac:dyDescent="0.3">
      <c r="A17" s="2" t="s">
        <v>30</v>
      </c>
      <c r="P17">
        <v>40</v>
      </c>
      <c r="U17">
        <v>195</v>
      </c>
      <c r="Y17">
        <v>70</v>
      </c>
      <c r="Z17">
        <v>60</v>
      </c>
      <c r="AF17">
        <v>40</v>
      </c>
      <c r="AH17">
        <f t="shared" si="0"/>
        <v>405</v>
      </c>
      <c r="AI17" s="2" t="s">
        <v>30</v>
      </c>
    </row>
    <row r="18" spans="1:36" x14ac:dyDescent="0.3">
      <c r="A18" s="2" t="s">
        <v>8</v>
      </c>
      <c r="K18">
        <v>20</v>
      </c>
      <c r="U18">
        <v>25</v>
      </c>
      <c r="AH18">
        <f t="shared" si="0"/>
        <v>45</v>
      </c>
      <c r="AI18" s="2" t="s">
        <v>8</v>
      </c>
    </row>
    <row r="19" spans="1:36" x14ac:dyDescent="0.3">
      <c r="A19" s="2" t="s">
        <v>11</v>
      </c>
      <c r="AE19">
        <v>870</v>
      </c>
      <c r="AH19">
        <f t="shared" si="0"/>
        <v>870</v>
      </c>
      <c r="AI19" s="2" t="s">
        <v>11</v>
      </c>
    </row>
    <row r="20" spans="1:36" x14ac:dyDescent="0.3">
      <c r="A20" s="2" t="s">
        <v>4</v>
      </c>
      <c r="K20">
        <v>230</v>
      </c>
      <c r="AD20">
        <v>20</v>
      </c>
      <c r="AF20">
        <v>239</v>
      </c>
      <c r="AH20">
        <f t="shared" si="0"/>
        <v>489</v>
      </c>
      <c r="AI20" s="2" t="s">
        <v>4</v>
      </c>
    </row>
    <row r="21" spans="1:36" x14ac:dyDescent="0.3">
      <c r="A21" s="2" t="s">
        <v>89</v>
      </c>
      <c r="H21" s="13">
        <v>814</v>
      </c>
      <c r="I21" s="13">
        <v>13</v>
      </c>
      <c r="M21" s="13">
        <v>208</v>
      </c>
      <c r="R21" s="13">
        <v>197</v>
      </c>
      <c r="S21" s="13">
        <v>145</v>
      </c>
      <c r="X21" s="13">
        <v>30</v>
      </c>
      <c r="AD21" s="13">
        <v>497</v>
      </c>
      <c r="AF21" s="13">
        <v>287.7</v>
      </c>
      <c r="AI21" s="2" t="s">
        <v>89</v>
      </c>
    </row>
    <row r="22" spans="1:36" x14ac:dyDescent="0.3">
      <c r="Q22" s="6">
        <f>SUM(B2:AF20)</f>
        <v>16217.79</v>
      </c>
      <c r="AJ22">
        <f>SUM(Q22)</f>
        <v>16217.79</v>
      </c>
    </row>
    <row r="23" spans="1:36" x14ac:dyDescent="0.3">
      <c r="B23" s="1">
        <v>46054</v>
      </c>
      <c r="C23" s="1">
        <v>46055</v>
      </c>
      <c r="D23" s="1">
        <v>46056</v>
      </c>
      <c r="E23" s="1">
        <v>46057</v>
      </c>
      <c r="F23" s="1">
        <v>46058</v>
      </c>
      <c r="G23" s="1">
        <v>46059</v>
      </c>
      <c r="H23" s="1">
        <v>46060</v>
      </c>
      <c r="I23" s="1">
        <v>46061</v>
      </c>
      <c r="J23" s="1">
        <v>46062</v>
      </c>
      <c r="K23" s="1">
        <v>46063</v>
      </c>
      <c r="L23" s="1">
        <v>46064</v>
      </c>
      <c r="M23" s="1">
        <v>46065</v>
      </c>
      <c r="N23" s="1">
        <v>46066</v>
      </c>
      <c r="O23" s="1">
        <v>46067</v>
      </c>
      <c r="P23" s="1">
        <v>46068</v>
      </c>
      <c r="Q23" s="1">
        <v>46069</v>
      </c>
      <c r="R23" s="1">
        <v>46070</v>
      </c>
      <c r="S23" s="1">
        <v>46071</v>
      </c>
      <c r="T23" s="1">
        <v>46072</v>
      </c>
      <c r="U23" s="1">
        <v>46073</v>
      </c>
      <c r="V23" s="1">
        <v>46074</v>
      </c>
      <c r="W23" s="1">
        <v>46075</v>
      </c>
      <c r="X23" s="1">
        <v>46076</v>
      </c>
      <c r="Y23" s="1">
        <v>46077</v>
      </c>
      <c r="Z23" s="1">
        <v>46078</v>
      </c>
      <c r="AA23" s="1">
        <v>46079</v>
      </c>
      <c r="AB23" s="1">
        <v>46080</v>
      </c>
      <c r="AC23" s="1">
        <v>46081</v>
      </c>
    </row>
    <row r="24" spans="1:36" x14ac:dyDescent="0.3">
      <c r="A24" s="2" t="s">
        <v>5</v>
      </c>
      <c r="C24">
        <v>55</v>
      </c>
      <c r="E24">
        <v>28</v>
      </c>
      <c r="F24">
        <v>55</v>
      </c>
      <c r="H24">
        <v>55</v>
      </c>
      <c r="J24">
        <v>28</v>
      </c>
      <c r="M24">
        <v>28</v>
      </c>
      <c r="N24">
        <v>27</v>
      </c>
      <c r="P24">
        <v>55</v>
      </c>
      <c r="R24">
        <v>28</v>
      </c>
      <c r="S24">
        <v>27</v>
      </c>
      <c r="T24">
        <v>28</v>
      </c>
      <c r="U24">
        <v>28</v>
      </c>
      <c r="V24">
        <v>27</v>
      </c>
      <c r="X24">
        <v>28</v>
      </c>
      <c r="Y24">
        <v>52</v>
      </c>
      <c r="AA24">
        <v>55</v>
      </c>
      <c r="AC24">
        <v>28</v>
      </c>
      <c r="AH24">
        <f>SUM(B24:AC24)</f>
        <v>632</v>
      </c>
      <c r="AI24" s="2" t="s">
        <v>5</v>
      </c>
    </row>
    <row r="25" spans="1:36" x14ac:dyDescent="0.3">
      <c r="A25" t="s">
        <v>91</v>
      </c>
      <c r="V25">
        <v>5</v>
      </c>
      <c r="AC25">
        <v>5</v>
      </c>
      <c r="AH25">
        <f>SUM(B25:AC25)</f>
        <v>10</v>
      </c>
      <c r="AI25" t="s">
        <v>91</v>
      </c>
    </row>
    <row r="26" spans="1:36" x14ac:dyDescent="0.3">
      <c r="A26" s="2" t="s">
        <v>0</v>
      </c>
      <c r="B26">
        <v>1000</v>
      </c>
      <c r="F26">
        <v>205</v>
      </c>
      <c r="L26">
        <v>200</v>
      </c>
      <c r="W26">
        <v>2050</v>
      </c>
      <c r="Z26">
        <v>200</v>
      </c>
      <c r="AH26">
        <f>SUM(B26:AC26)</f>
        <v>3655</v>
      </c>
      <c r="AI26" s="2" t="s">
        <v>0</v>
      </c>
    </row>
    <row r="27" spans="1:36" x14ac:dyDescent="0.3">
      <c r="A27" s="2" t="s">
        <v>16</v>
      </c>
      <c r="B27">
        <v>100</v>
      </c>
      <c r="C27">
        <v>40</v>
      </c>
      <c r="E27">
        <v>32</v>
      </c>
      <c r="F27">
        <v>329</v>
      </c>
      <c r="I27">
        <v>130</v>
      </c>
      <c r="J27">
        <v>10</v>
      </c>
      <c r="M27">
        <v>26</v>
      </c>
      <c r="N27">
        <v>49</v>
      </c>
      <c r="Q27">
        <v>14.49</v>
      </c>
      <c r="R27">
        <v>85</v>
      </c>
      <c r="S27">
        <v>100</v>
      </c>
      <c r="W27">
        <v>50</v>
      </c>
      <c r="Y27">
        <v>124.03</v>
      </c>
      <c r="Z27">
        <v>29</v>
      </c>
      <c r="AB27">
        <v>60</v>
      </c>
      <c r="AH27">
        <f t="shared" ref="AH27:AH43" si="1">SUM(B27:AC27)</f>
        <v>1178.52</v>
      </c>
      <c r="AI27" s="2" t="s">
        <v>16</v>
      </c>
    </row>
    <row r="28" spans="1:36" x14ac:dyDescent="0.3">
      <c r="A28" s="2" t="s">
        <v>34</v>
      </c>
      <c r="K28">
        <v>440</v>
      </c>
      <c r="AH28">
        <f t="shared" si="1"/>
        <v>440</v>
      </c>
      <c r="AI28" s="2" t="s">
        <v>34</v>
      </c>
    </row>
    <row r="29" spans="1:36" x14ac:dyDescent="0.3">
      <c r="A29" s="2" t="s">
        <v>18</v>
      </c>
      <c r="C29">
        <v>287.62</v>
      </c>
      <c r="G29">
        <v>75</v>
      </c>
      <c r="H29">
        <v>60</v>
      </c>
      <c r="K29">
        <v>64</v>
      </c>
      <c r="M29">
        <v>1926</v>
      </c>
      <c r="N29">
        <v>59</v>
      </c>
      <c r="Q29">
        <v>159.4</v>
      </c>
      <c r="W29">
        <v>40</v>
      </c>
      <c r="Y29">
        <v>885.49</v>
      </c>
      <c r="AH29">
        <f>SUM(B29:AD29)</f>
        <v>3556.51</v>
      </c>
      <c r="AI29" s="2" t="s">
        <v>18</v>
      </c>
    </row>
    <row r="30" spans="1:36" x14ac:dyDescent="0.3">
      <c r="A30" s="2" t="s">
        <v>2</v>
      </c>
      <c r="C30">
        <v>132</v>
      </c>
      <c r="D30">
        <v>15</v>
      </c>
      <c r="F30">
        <v>119</v>
      </c>
      <c r="H30">
        <v>22</v>
      </c>
      <c r="I30">
        <v>200</v>
      </c>
      <c r="M30">
        <v>11</v>
      </c>
      <c r="N30">
        <v>28</v>
      </c>
      <c r="P30">
        <v>40</v>
      </c>
      <c r="Q30">
        <v>38.56</v>
      </c>
      <c r="R30">
        <v>25</v>
      </c>
      <c r="S30">
        <v>43</v>
      </c>
      <c r="U30">
        <v>33</v>
      </c>
      <c r="W30">
        <v>20</v>
      </c>
      <c r="Y30">
        <v>108.43</v>
      </c>
      <c r="AB30">
        <v>38</v>
      </c>
      <c r="AH30">
        <f t="shared" si="1"/>
        <v>872.99</v>
      </c>
      <c r="AI30" s="2" t="s">
        <v>2</v>
      </c>
    </row>
    <row r="31" spans="1:36" x14ac:dyDescent="0.3">
      <c r="A31" s="2" t="s">
        <v>19</v>
      </c>
      <c r="B31">
        <v>300</v>
      </c>
      <c r="E31">
        <v>40</v>
      </c>
      <c r="F31">
        <v>23.5</v>
      </c>
      <c r="G31">
        <v>30</v>
      </c>
      <c r="L31">
        <v>30</v>
      </c>
      <c r="N31">
        <v>65</v>
      </c>
      <c r="R31">
        <v>22.5</v>
      </c>
      <c r="T31">
        <v>40</v>
      </c>
      <c r="U31">
        <v>25</v>
      </c>
      <c r="V31">
        <v>45</v>
      </c>
      <c r="W31">
        <v>215</v>
      </c>
      <c r="Y31">
        <v>42.5</v>
      </c>
      <c r="AA31">
        <v>20</v>
      </c>
      <c r="AH31">
        <f t="shared" si="1"/>
        <v>898.5</v>
      </c>
      <c r="AI31" s="2" t="s">
        <v>19</v>
      </c>
    </row>
    <row r="32" spans="1:36" x14ac:dyDescent="0.3">
      <c r="A32" s="2" t="s">
        <v>7</v>
      </c>
      <c r="C32">
        <v>50</v>
      </c>
      <c r="F32">
        <v>100</v>
      </c>
      <c r="P32">
        <v>50</v>
      </c>
      <c r="S32">
        <v>50</v>
      </c>
      <c r="V32">
        <v>30</v>
      </c>
      <c r="W32">
        <v>50</v>
      </c>
      <c r="AH32">
        <f t="shared" si="1"/>
        <v>330</v>
      </c>
      <c r="AI32" s="2" t="s">
        <v>7</v>
      </c>
    </row>
    <row r="33" spans="1:36" x14ac:dyDescent="0.3">
      <c r="A33" s="2" t="s">
        <v>15</v>
      </c>
      <c r="K33">
        <v>615</v>
      </c>
      <c r="L33">
        <v>289</v>
      </c>
      <c r="M33">
        <v>415</v>
      </c>
      <c r="N33">
        <v>383</v>
      </c>
      <c r="AH33">
        <f t="shared" si="1"/>
        <v>1702</v>
      </c>
      <c r="AI33" s="2" t="s">
        <v>15</v>
      </c>
    </row>
    <row r="34" spans="1:36" x14ac:dyDescent="0.3">
      <c r="A34" s="2" t="s">
        <v>13</v>
      </c>
      <c r="M34">
        <v>264</v>
      </c>
      <c r="AH34">
        <f t="shared" si="1"/>
        <v>264</v>
      </c>
      <c r="AI34" s="2" t="s">
        <v>13</v>
      </c>
    </row>
    <row r="35" spans="1:36" x14ac:dyDescent="0.3">
      <c r="A35" s="2" t="s">
        <v>17</v>
      </c>
      <c r="G35">
        <v>825</v>
      </c>
      <c r="AH35">
        <f t="shared" si="1"/>
        <v>825</v>
      </c>
      <c r="AI35" s="2" t="s">
        <v>17</v>
      </c>
    </row>
    <row r="36" spans="1:36" x14ac:dyDescent="0.3">
      <c r="A36" s="2" t="s">
        <v>99</v>
      </c>
      <c r="C36">
        <v>100</v>
      </c>
      <c r="F36">
        <v>100</v>
      </c>
      <c r="L36">
        <v>100</v>
      </c>
      <c r="O36">
        <v>100</v>
      </c>
      <c r="AH36">
        <f t="shared" si="1"/>
        <v>400</v>
      </c>
      <c r="AI36" s="2" t="s">
        <v>99</v>
      </c>
    </row>
    <row r="37" spans="1:36" x14ac:dyDescent="0.3">
      <c r="A37" s="2" t="s">
        <v>20</v>
      </c>
      <c r="F37">
        <v>40</v>
      </c>
      <c r="H37">
        <v>150</v>
      </c>
      <c r="I37">
        <v>40</v>
      </c>
      <c r="L37">
        <v>24</v>
      </c>
      <c r="O37">
        <v>90</v>
      </c>
      <c r="AH37">
        <f t="shared" si="1"/>
        <v>344</v>
      </c>
      <c r="AI37" s="2" t="s">
        <v>20</v>
      </c>
    </row>
    <row r="38" spans="1:36" x14ac:dyDescent="0.3">
      <c r="A38" s="2" t="s">
        <v>100</v>
      </c>
      <c r="W38">
        <v>70</v>
      </c>
      <c r="AH38">
        <f t="shared" si="1"/>
        <v>70</v>
      </c>
      <c r="AI38" s="2" t="s">
        <v>100</v>
      </c>
    </row>
    <row r="39" spans="1:36" x14ac:dyDescent="0.3">
      <c r="A39" s="2" t="s">
        <v>12</v>
      </c>
      <c r="G39">
        <v>594</v>
      </c>
      <c r="Q39">
        <v>398</v>
      </c>
      <c r="R39">
        <v>20</v>
      </c>
      <c r="S39">
        <v>20</v>
      </c>
      <c r="V39">
        <v>25</v>
      </c>
      <c r="W39">
        <v>10</v>
      </c>
      <c r="AH39">
        <f t="shared" si="1"/>
        <v>1067</v>
      </c>
      <c r="AI39" s="2" t="s">
        <v>12</v>
      </c>
    </row>
    <row r="40" spans="1:36" x14ac:dyDescent="0.3">
      <c r="A40" s="2" t="s">
        <v>30</v>
      </c>
      <c r="H40">
        <v>80</v>
      </c>
      <c r="W40">
        <v>500</v>
      </c>
      <c r="AH40">
        <f t="shared" si="1"/>
        <v>580</v>
      </c>
      <c r="AI40" s="2" t="s">
        <v>30</v>
      </c>
    </row>
    <row r="41" spans="1:36" x14ac:dyDescent="0.3">
      <c r="A41" s="2" t="s">
        <v>8</v>
      </c>
      <c r="Q41">
        <v>199</v>
      </c>
      <c r="W41">
        <v>29</v>
      </c>
      <c r="AH41">
        <f t="shared" si="1"/>
        <v>228</v>
      </c>
      <c r="AI41" s="2" t="s">
        <v>8</v>
      </c>
    </row>
    <row r="42" spans="1:36" x14ac:dyDescent="0.3">
      <c r="A42" s="2" t="s">
        <v>4</v>
      </c>
      <c r="E42">
        <v>20</v>
      </c>
      <c r="I42">
        <v>100</v>
      </c>
      <c r="Q42">
        <v>140</v>
      </c>
      <c r="X42">
        <v>200</v>
      </c>
      <c r="AH42">
        <f t="shared" si="1"/>
        <v>460</v>
      </c>
      <c r="AI42" s="2" t="s">
        <v>4</v>
      </c>
    </row>
    <row r="43" spans="1:36" x14ac:dyDescent="0.3">
      <c r="A43" s="2" t="s">
        <v>89</v>
      </c>
      <c r="F43" s="13">
        <v>59</v>
      </c>
      <c r="L43" s="13">
        <v>236</v>
      </c>
      <c r="M43" s="13">
        <v>27</v>
      </c>
      <c r="N43" s="13">
        <v>60</v>
      </c>
      <c r="Q43" s="13">
        <v>39</v>
      </c>
      <c r="R43" s="13">
        <v>159</v>
      </c>
      <c r="Z43" s="13">
        <v>1013</v>
      </c>
      <c r="AC43" s="13">
        <v>39</v>
      </c>
      <c r="AH43">
        <f t="shared" si="1"/>
        <v>1632</v>
      </c>
      <c r="AI43" s="2" t="s">
        <v>89</v>
      </c>
    </row>
    <row r="44" spans="1:36" x14ac:dyDescent="0.3">
      <c r="Q44" s="6">
        <f>SUM(B24:AC42)</f>
        <v>17513.519999999997</v>
      </c>
      <c r="AJ44">
        <f>SUM(AJ22,Q44)</f>
        <v>33731.31</v>
      </c>
    </row>
    <row r="45" spans="1:36" x14ac:dyDescent="0.3">
      <c r="B45" s="1">
        <v>46082</v>
      </c>
      <c r="C45" s="1">
        <v>46083</v>
      </c>
      <c r="D45" s="1">
        <v>46084</v>
      </c>
      <c r="E45" s="1">
        <v>46085</v>
      </c>
      <c r="F45" s="1">
        <v>46086</v>
      </c>
      <c r="G45" s="1">
        <v>46087</v>
      </c>
      <c r="H45" s="1">
        <v>46088</v>
      </c>
      <c r="I45" s="1">
        <v>46089</v>
      </c>
      <c r="J45" s="1">
        <v>46090</v>
      </c>
      <c r="K45" s="1">
        <v>46091</v>
      </c>
      <c r="L45" s="1">
        <v>46092</v>
      </c>
      <c r="M45" s="1">
        <v>46093</v>
      </c>
      <c r="N45" s="1">
        <v>46094</v>
      </c>
      <c r="O45" s="1">
        <v>46095</v>
      </c>
      <c r="P45" s="1">
        <v>46096</v>
      </c>
      <c r="Q45" s="1">
        <v>46097</v>
      </c>
      <c r="R45" s="1">
        <v>46098</v>
      </c>
      <c r="S45" s="1">
        <v>46099</v>
      </c>
      <c r="T45" s="1">
        <v>46100</v>
      </c>
      <c r="U45" s="1">
        <v>46101</v>
      </c>
      <c r="V45" s="1">
        <v>46102</v>
      </c>
      <c r="W45" s="1">
        <v>46103</v>
      </c>
      <c r="X45" s="1">
        <v>46104</v>
      </c>
      <c r="Y45" s="1">
        <v>46105</v>
      </c>
      <c r="Z45" s="1">
        <v>46106</v>
      </c>
      <c r="AA45" s="1">
        <v>46107</v>
      </c>
      <c r="AB45" s="1">
        <v>46108</v>
      </c>
      <c r="AC45" s="1">
        <v>46109</v>
      </c>
      <c r="AD45" s="1">
        <v>46110</v>
      </c>
      <c r="AE45" s="1">
        <v>46111</v>
      </c>
      <c r="AF45" s="1">
        <v>46112</v>
      </c>
    </row>
    <row r="46" spans="1:36" x14ac:dyDescent="0.3">
      <c r="A46" s="2" t="s">
        <v>5</v>
      </c>
      <c r="E46">
        <v>55</v>
      </c>
      <c r="F46">
        <v>28</v>
      </c>
      <c r="G46">
        <v>27</v>
      </c>
      <c r="H46">
        <v>28</v>
      </c>
      <c r="I46">
        <v>55</v>
      </c>
      <c r="L46">
        <v>55</v>
      </c>
      <c r="O46">
        <v>27</v>
      </c>
      <c r="P46">
        <v>28</v>
      </c>
      <c r="Q46">
        <v>55</v>
      </c>
      <c r="S46">
        <v>55</v>
      </c>
      <c r="V46">
        <v>55</v>
      </c>
      <c r="W46">
        <v>28</v>
      </c>
      <c r="Y46">
        <v>55</v>
      </c>
      <c r="AA46">
        <v>27</v>
      </c>
      <c r="AB46">
        <v>28</v>
      </c>
      <c r="AC46">
        <v>28</v>
      </c>
      <c r="AD46">
        <v>55</v>
      </c>
      <c r="AE46">
        <v>28</v>
      </c>
      <c r="AF46">
        <v>55</v>
      </c>
      <c r="AH46">
        <f>SUM(B46:AF46)</f>
        <v>772</v>
      </c>
      <c r="AI46" s="2" t="s">
        <v>5</v>
      </c>
    </row>
    <row r="47" spans="1:36" x14ac:dyDescent="0.3">
      <c r="A47" t="s">
        <v>91</v>
      </c>
      <c r="O47">
        <v>5</v>
      </c>
      <c r="V47">
        <v>5</v>
      </c>
      <c r="AH47">
        <f>SUM(B47:AF47)</f>
        <v>10</v>
      </c>
      <c r="AI47" t="s">
        <v>91</v>
      </c>
    </row>
    <row r="48" spans="1:36" x14ac:dyDescent="0.3">
      <c r="A48" s="2" t="s">
        <v>0</v>
      </c>
      <c r="B48">
        <v>2500</v>
      </c>
      <c r="K48" s="5">
        <v>250</v>
      </c>
      <c r="O48">
        <v>200</v>
      </c>
      <c r="AH48">
        <f t="shared" ref="AH48:AH68" si="2">SUM(B48:AF48)</f>
        <v>2950</v>
      </c>
      <c r="AI48" s="2" t="s">
        <v>0</v>
      </c>
    </row>
    <row r="49" spans="1:35" x14ac:dyDescent="0.3">
      <c r="A49" s="2" t="s">
        <v>16</v>
      </c>
      <c r="B49">
        <v>95</v>
      </c>
      <c r="E49">
        <v>60</v>
      </c>
      <c r="H49">
        <v>50</v>
      </c>
      <c r="I49">
        <v>310</v>
      </c>
      <c r="L49">
        <v>61</v>
      </c>
      <c r="M49">
        <v>20</v>
      </c>
      <c r="O49">
        <v>50</v>
      </c>
      <c r="R49">
        <v>22</v>
      </c>
      <c r="S49">
        <v>85</v>
      </c>
      <c r="T49">
        <v>75</v>
      </c>
      <c r="V49">
        <v>77</v>
      </c>
      <c r="W49">
        <v>255</v>
      </c>
      <c r="AA49">
        <v>52.35</v>
      </c>
      <c r="AD49">
        <v>94.65</v>
      </c>
      <c r="AF49">
        <v>23</v>
      </c>
      <c r="AH49">
        <f t="shared" si="2"/>
        <v>1330</v>
      </c>
      <c r="AI49" s="2" t="s">
        <v>16</v>
      </c>
    </row>
    <row r="50" spans="1:35" x14ac:dyDescent="0.3">
      <c r="A50" s="2" t="s">
        <v>34</v>
      </c>
      <c r="L50">
        <v>35</v>
      </c>
      <c r="O50">
        <v>82</v>
      </c>
      <c r="AC50">
        <v>107</v>
      </c>
      <c r="AD50">
        <v>190</v>
      </c>
      <c r="AH50">
        <f t="shared" si="2"/>
        <v>414</v>
      </c>
      <c r="AI50" s="2" t="s">
        <v>34</v>
      </c>
    </row>
    <row r="51" spans="1:35" x14ac:dyDescent="0.3">
      <c r="A51" s="2" t="s">
        <v>18</v>
      </c>
      <c r="B51">
        <v>35</v>
      </c>
      <c r="L51">
        <v>1192.5</v>
      </c>
      <c r="N51">
        <v>175</v>
      </c>
      <c r="S51">
        <v>125.31</v>
      </c>
      <c r="T51">
        <v>138</v>
      </c>
      <c r="U51">
        <v>33</v>
      </c>
      <c r="AA51">
        <v>1141.6500000000001</v>
      </c>
      <c r="AB51">
        <v>60</v>
      </c>
      <c r="AC51">
        <v>238</v>
      </c>
      <c r="AD51">
        <v>144.43</v>
      </c>
      <c r="AH51">
        <f t="shared" si="2"/>
        <v>3282.89</v>
      </c>
      <c r="AI51" s="2" t="s">
        <v>18</v>
      </c>
    </row>
    <row r="52" spans="1:35" x14ac:dyDescent="0.3">
      <c r="A52" s="2" t="s">
        <v>2</v>
      </c>
      <c r="B52">
        <v>20</v>
      </c>
      <c r="C52">
        <v>30</v>
      </c>
      <c r="E52">
        <v>29</v>
      </c>
      <c r="F52">
        <v>165.55</v>
      </c>
      <c r="G52">
        <v>33</v>
      </c>
      <c r="I52">
        <v>30</v>
      </c>
      <c r="K52">
        <v>27</v>
      </c>
      <c r="L52">
        <v>25</v>
      </c>
      <c r="M52">
        <v>36</v>
      </c>
      <c r="P52">
        <v>120</v>
      </c>
      <c r="Q52">
        <v>25</v>
      </c>
      <c r="S52">
        <v>20</v>
      </c>
      <c r="V52">
        <v>28</v>
      </c>
      <c r="W52">
        <v>70</v>
      </c>
      <c r="AA52">
        <v>60</v>
      </c>
      <c r="AE52">
        <v>125.45</v>
      </c>
      <c r="AH52">
        <f t="shared" si="2"/>
        <v>844</v>
      </c>
      <c r="AI52" s="2" t="s">
        <v>2</v>
      </c>
    </row>
    <row r="53" spans="1:35" x14ac:dyDescent="0.3">
      <c r="A53" s="2" t="s">
        <v>19</v>
      </c>
      <c r="B53">
        <v>365</v>
      </c>
      <c r="C53">
        <v>20</v>
      </c>
      <c r="F53">
        <v>70</v>
      </c>
      <c r="G53">
        <v>40</v>
      </c>
      <c r="I53">
        <v>70</v>
      </c>
      <c r="L53">
        <v>7</v>
      </c>
      <c r="M53">
        <v>30</v>
      </c>
      <c r="O53">
        <v>25</v>
      </c>
      <c r="P53">
        <v>30</v>
      </c>
      <c r="V53">
        <v>323</v>
      </c>
      <c r="AH53">
        <f t="shared" si="2"/>
        <v>980</v>
      </c>
      <c r="AI53" s="2" t="s">
        <v>19</v>
      </c>
    </row>
    <row r="54" spans="1:35" x14ac:dyDescent="0.3">
      <c r="A54" s="2" t="s">
        <v>7</v>
      </c>
      <c r="C54">
        <v>50</v>
      </c>
      <c r="H54">
        <v>40</v>
      </c>
      <c r="I54">
        <v>60</v>
      </c>
      <c r="S54">
        <v>100</v>
      </c>
      <c r="W54">
        <v>30</v>
      </c>
      <c r="AD54">
        <v>100</v>
      </c>
      <c r="AH54">
        <f t="shared" si="2"/>
        <v>380</v>
      </c>
      <c r="AI54" s="2" t="s">
        <v>7</v>
      </c>
    </row>
    <row r="55" spans="1:35" x14ac:dyDescent="0.3">
      <c r="A55" s="2" t="s">
        <v>15</v>
      </c>
      <c r="K55">
        <v>451</v>
      </c>
      <c r="L55">
        <v>384</v>
      </c>
      <c r="M55">
        <v>468</v>
      </c>
      <c r="N55">
        <v>282</v>
      </c>
      <c r="AH55">
        <f t="shared" si="2"/>
        <v>1585</v>
      </c>
      <c r="AI55" s="2" t="s">
        <v>15</v>
      </c>
    </row>
    <row r="56" spans="1:35" x14ac:dyDescent="0.3">
      <c r="A56" s="2" t="s">
        <v>13</v>
      </c>
      <c r="K56">
        <v>264</v>
      </c>
      <c r="AH56">
        <f t="shared" si="2"/>
        <v>264</v>
      </c>
      <c r="AI56" s="2" t="s">
        <v>13</v>
      </c>
    </row>
    <row r="57" spans="1:35" x14ac:dyDescent="0.3">
      <c r="A57" s="2" t="s">
        <v>53</v>
      </c>
      <c r="S57">
        <v>109</v>
      </c>
      <c r="AH57">
        <f>SUM(B57:AF57)</f>
        <v>109</v>
      </c>
      <c r="AI57" s="2" t="s">
        <v>53</v>
      </c>
    </row>
    <row r="58" spans="1:35" x14ac:dyDescent="0.3">
      <c r="A58" s="2" t="s">
        <v>17</v>
      </c>
      <c r="F58">
        <v>807</v>
      </c>
      <c r="Q58">
        <v>197</v>
      </c>
      <c r="AH58">
        <f>SUM(B58:AF58)</f>
        <v>1004</v>
      </c>
      <c r="AI58" s="2" t="s">
        <v>17</v>
      </c>
    </row>
    <row r="59" spans="1:35" x14ac:dyDescent="0.3">
      <c r="A59" s="2" t="s">
        <v>54</v>
      </c>
      <c r="P59">
        <v>930</v>
      </c>
      <c r="AH59">
        <f t="shared" si="2"/>
        <v>930</v>
      </c>
      <c r="AI59" s="2" t="s">
        <v>54</v>
      </c>
    </row>
    <row r="60" spans="1:35" x14ac:dyDescent="0.3">
      <c r="A60" s="2" t="s">
        <v>10</v>
      </c>
      <c r="Z60">
        <v>206</v>
      </c>
      <c r="AD60">
        <v>250</v>
      </c>
      <c r="AH60">
        <f>SUM(B60:AF60)</f>
        <v>456</v>
      </c>
      <c r="AI60" s="2" t="s">
        <v>10</v>
      </c>
    </row>
    <row r="61" spans="1:35" x14ac:dyDescent="0.3">
      <c r="A61" s="2" t="s">
        <v>20</v>
      </c>
      <c r="I61">
        <v>3599</v>
      </c>
      <c r="T61">
        <v>499</v>
      </c>
      <c r="V61">
        <v>965</v>
      </c>
      <c r="W61">
        <v>40</v>
      </c>
      <c r="AD61">
        <v>150</v>
      </c>
      <c r="AH61">
        <f>SUM(B61:AF61)</f>
        <v>5253</v>
      </c>
      <c r="AI61" s="2" t="s">
        <v>20</v>
      </c>
    </row>
    <row r="62" spans="1:35" x14ac:dyDescent="0.3">
      <c r="A62" s="2" t="s">
        <v>92</v>
      </c>
      <c r="B62">
        <v>50</v>
      </c>
      <c r="AH62">
        <f t="shared" si="2"/>
        <v>50</v>
      </c>
      <c r="AI62" s="2" t="s">
        <v>92</v>
      </c>
    </row>
    <row r="63" spans="1:35" x14ac:dyDescent="0.3">
      <c r="A63" s="2" t="s">
        <v>100</v>
      </c>
      <c r="B63">
        <v>253</v>
      </c>
      <c r="AH63">
        <f t="shared" si="2"/>
        <v>253</v>
      </c>
      <c r="AI63" s="2" t="s">
        <v>100</v>
      </c>
    </row>
    <row r="64" spans="1:35" x14ac:dyDescent="0.3">
      <c r="A64" s="2" t="s">
        <v>12</v>
      </c>
      <c r="J64">
        <v>20000</v>
      </c>
      <c r="N64">
        <v>36</v>
      </c>
      <c r="O64">
        <v>790</v>
      </c>
      <c r="Q64">
        <v>49047</v>
      </c>
      <c r="V64">
        <v>1594</v>
      </c>
      <c r="AA64">
        <v>79</v>
      </c>
      <c r="AH64">
        <f t="shared" si="2"/>
        <v>71546</v>
      </c>
      <c r="AI64" s="2" t="s">
        <v>12</v>
      </c>
    </row>
    <row r="65" spans="1:37" x14ac:dyDescent="0.3">
      <c r="A65" s="2" t="s">
        <v>30</v>
      </c>
      <c r="B65">
        <v>480</v>
      </c>
      <c r="AH65">
        <f t="shared" si="2"/>
        <v>480</v>
      </c>
      <c r="AI65" s="2" t="s">
        <v>30</v>
      </c>
    </row>
    <row r="66" spans="1:37" x14ac:dyDescent="0.3">
      <c r="A66" s="2" t="s">
        <v>8</v>
      </c>
      <c r="B66">
        <v>29</v>
      </c>
      <c r="Z66">
        <v>29</v>
      </c>
      <c r="AD66">
        <v>19</v>
      </c>
      <c r="AH66">
        <f t="shared" si="2"/>
        <v>77</v>
      </c>
      <c r="AI66" s="2" t="s">
        <v>8</v>
      </c>
    </row>
    <row r="67" spans="1:37" x14ac:dyDescent="0.3">
      <c r="A67" s="2" t="s">
        <v>4</v>
      </c>
      <c r="B67">
        <v>100</v>
      </c>
      <c r="C67">
        <v>45</v>
      </c>
      <c r="V67">
        <v>18</v>
      </c>
      <c r="AD67">
        <v>10</v>
      </c>
      <c r="AH67">
        <f t="shared" si="2"/>
        <v>173</v>
      </c>
      <c r="AI67" s="2" t="s">
        <v>4</v>
      </c>
    </row>
    <row r="68" spans="1:37" x14ac:dyDescent="0.3">
      <c r="A68" s="2" t="s">
        <v>89</v>
      </c>
      <c r="B68" s="13">
        <v>13</v>
      </c>
      <c r="J68" s="13">
        <v>14</v>
      </c>
      <c r="K68" s="13">
        <v>290</v>
      </c>
      <c r="L68" s="13">
        <v>152</v>
      </c>
      <c r="M68" s="13">
        <v>91.5</v>
      </c>
      <c r="U68" s="13">
        <v>54</v>
      </c>
      <c r="AB68" s="13">
        <v>54</v>
      </c>
      <c r="AC68" s="13">
        <v>395</v>
      </c>
      <c r="AE68">
        <v>153</v>
      </c>
      <c r="AF68">
        <v>26</v>
      </c>
      <c r="AH68">
        <f t="shared" si="2"/>
        <v>1242.5</v>
      </c>
      <c r="AI68" s="2" t="s">
        <v>89</v>
      </c>
    </row>
    <row r="69" spans="1:37" x14ac:dyDescent="0.3">
      <c r="Q69" s="6">
        <f>SUM(B46:AF67)</f>
        <v>93142.89</v>
      </c>
      <c r="R69">
        <f>-(J64+Q64)</f>
        <v>-69047</v>
      </c>
      <c r="S69">
        <f>SUM(Q69:R69)</f>
        <v>24095.89</v>
      </c>
      <c r="AJ69">
        <f>SUM(AJ44,Q69)</f>
        <v>126874.2</v>
      </c>
    </row>
    <row r="70" spans="1:37" x14ac:dyDescent="0.3">
      <c r="B70" s="1">
        <v>46113</v>
      </c>
      <c r="C70" s="1">
        <v>46114</v>
      </c>
      <c r="D70" s="1">
        <v>46115</v>
      </c>
      <c r="E70" s="1">
        <v>46116</v>
      </c>
      <c r="F70" s="1">
        <v>46117</v>
      </c>
      <c r="G70" s="1">
        <v>46118</v>
      </c>
      <c r="H70" s="1">
        <v>46119</v>
      </c>
      <c r="I70" s="1">
        <v>46120</v>
      </c>
      <c r="J70" s="1">
        <v>46121</v>
      </c>
      <c r="K70" s="1">
        <v>46122</v>
      </c>
      <c r="L70" s="1">
        <v>46123</v>
      </c>
      <c r="M70" s="1">
        <v>46124</v>
      </c>
      <c r="N70" s="1">
        <v>46125</v>
      </c>
      <c r="O70" s="1">
        <v>46126</v>
      </c>
      <c r="P70" s="1">
        <v>46127</v>
      </c>
      <c r="Q70" s="1">
        <v>46128</v>
      </c>
      <c r="R70" s="1">
        <v>46129</v>
      </c>
      <c r="S70" s="1">
        <v>46130</v>
      </c>
      <c r="T70" s="1">
        <v>46131</v>
      </c>
      <c r="U70" s="1">
        <v>46132</v>
      </c>
      <c r="V70" s="1">
        <v>46133</v>
      </c>
      <c r="W70" s="1">
        <v>46134</v>
      </c>
      <c r="X70" s="1">
        <v>46135</v>
      </c>
      <c r="Y70" s="1">
        <v>46136</v>
      </c>
      <c r="Z70" s="1">
        <v>46137</v>
      </c>
      <c r="AA70" s="1">
        <v>46138</v>
      </c>
      <c r="AB70" s="1">
        <v>46139</v>
      </c>
      <c r="AC70" s="1">
        <v>46140</v>
      </c>
      <c r="AD70" s="1">
        <v>46141</v>
      </c>
      <c r="AE70" s="1">
        <v>46142</v>
      </c>
    </row>
    <row r="71" spans="1:37" x14ac:dyDescent="0.3">
      <c r="A71" s="2" t="s">
        <v>5</v>
      </c>
      <c r="D71">
        <v>55</v>
      </c>
      <c r="E71">
        <v>28</v>
      </c>
      <c r="H71">
        <v>55</v>
      </c>
      <c r="I71">
        <v>28</v>
      </c>
      <c r="J71">
        <v>28</v>
      </c>
      <c r="K71">
        <v>55</v>
      </c>
      <c r="M71">
        <v>28</v>
      </c>
      <c r="O71">
        <v>55</v>
      </c>
      <c r="P71">
        <v>28</v>
      </c>
      <c r="Q71">
        <v>54.5</v>
      </c>
      <c r="R71">
        <v>28</v>
      </c>
      <c r="T71">
        <v>52</v>
      </c>
      <c r="U71">
        <v>28</v>
      </c>
      <c r="X71">
        <v>56</v>
      </c>
      <c r="Z71">
        <v>28</v>
      </c>
      <c r="AA71">
        <v>55</v>
      </c>
      <c r="AC71">
        <v>55</v>
      </c>
      <c r="AH71">
        <f>SUM(B71:AE71)</f>
        <v>716.5</v>
      </c>
      <c r="AI71" s="2" t="s">
        <v>5</v>
      </c>
    </row>
    <row r="72" spans="1:37" x14ac:dyDescent="0.3">
      <c r="A72" t="s">
        <v>91</v>
      </c>
      <c r="Z72">
        <v>11</v>
      </c>
      <c r="AA72">
        <v>6</v>
      </c>
      <c r="AH72">
        <f>SUM(B72:AE72)</f>
        <v>17</v>
      </c>
      <c r="AI72" t="s">
        <v>91</v>
      </c>
    </row>
    <row r="73" spans="1:37" x14ac:dyDescent="0.3">
      <c r="A73" s="2" t="s">
        <v>0</v>
      </c>
      <c r="B73">
        <v>1000</v>
      </c>
      <c r="D73">
        <v>200</v>
      </c>
      <c r="F73">
        <v>2000</v>
      </c>
      <c r="J73" s="5">
        <v>205</v>
      </c>
      <c r="M73">
        <v>5</v>
      </c>
      <c r="V73" s="5">
        <v>200</v>
      </c>
      <c r="W73">
        <v>200</v>
      </c>
      <c r="AB73">
        <v>1000</v>
      </c>
      <c r="AH73">
        <f t="shared" ref="AH73:AH93" si="3">SUM(B73:AE73)</f>
        <v>4810</v>
      </c>
      <c r="AI73" s="2" t="s">
        <v>0</v>
      </c>
      <c r="AK73">
        <v>20000</v>
      </c>
    </row>
    <row r="74" spans="1:37" x14ac:dyDescent="0.3">
      <c r="A74" s="2" t="s">
        <v>16</v>
      </c>
      <c r="C74">
        <v>60</v>
      </c>
      <c r="F74">
        <v>30</v>
      </c>
      <c r="G74">
        <v>12</v>
      </c>
      <c r="H74">
        <v>80</v>
      </c>
      <c r="I74">
        <v>39</v>
      </c>
      <c r="J74">
        <v>10</v>
      </c>
      <c r="M74">
        <v>626.37</v>
      </c>
      <c r="O74">
        <v>20</v>
      </c>
      <c r="Q74">
        <v>29</v>
      </c>
      <c r="R74">
        <v>30</v>
      </c>
      <c r="T74">
        <v>20</v>
      </c>
      <c r="W74">
        <v>69</v>
      </c>
      <c r="Y74">
        <v>47.55</v>
      </c>
      <c r="Z74">
        <v>36</v>
      </c>
      <c r="AA74">
        <v>460</v>
      </c>
      <c r="AE74">
        <v>20</v>
      </c>
      <c r="AH74">
        <f t="shared" si="3"/>
        <v>1588.9199999999998</v>
      </c>
      <c r="AI74" s="2" t="s">
        <v>16</v>
      </c>
      <c r="AK74">
        <v>49047</v>
      </c>
    </row>
    <row r="75" spans="1:37" x14ac:dyDescent="0.3">
      <c r="A75" s="2" t="s">
        <v>34</v>
      </c>
      <c r="X75">
        <v>26</v>
      </c>
      <c r="AH75">
        <f t="shared" si="3"/>
        <v>26</v>
      </c>
      <c r="AI75" s="2" t="s">
        <v>34</v>
      </c>
      <c r="AK75">
        <v>41411</v>
      </c>
    </row>
    <row r="76" spans="1:37" x14ac:dyDescent="0.3">
      <c r="A76" s="2" t="s">
        <v>18</v>
      </c>
      <c r="C76">
        <v>369</v>
      </c>
      <c r="D76">
        <v>886</v>
      </c>
      <c r="F76">
        <v>80</v>
      </c>
      <c r="L76">
        <v>336</v>
      </c>
      <c r="M76">
        <v>193</v>
      </c>
      <c r="O76">
        <v>254</v>
      </c>
      <c r="P76">
        <v>60</v>
      </c>
      <c r="Q76">
        <v>530.5</v>
      </c>
      <c r="S76">
        <v>690</v>
      </c>
      <c r="V76">
        <v>232</v>
      </c>
      <c r="X76">
        <v>3401</v>
      </c>
      <c r="Y76">
        <v>397</v>
      </c>
      <c r="AE76">
        <v>60</v>
      </c>
      <c r="AH76">
        <f t="shared" si="3"/>
        <v>7488.5</v>
      </c>
      <c r="AI76" s="2" t="s">
        <v>18</v>
      </c>
      <c r="AK76">
        <f>SUM(AK73:AK75)</f>
        <v>110458</v>
      </c>
    </row>
    <row r="77" spans="1:37" x14ac:dyDescent="0.3">
      <c r="A77" s="2" t="s">
        <v>2</v>
      </c>
      <c r="C77">
        <v>38</v>
      </c>
      <c r="D77">
        <v>21</v>
      </c>
      <c r="E77">
        <v>21</v>
      </c>
      <c r="F77">
        <v>85</v>
      </c>
      <c r="H77">
        <v>41</v>
      </c>
      <c r="J77">
        <v>45</v>
      </c>
      <c r="M77">
        <v>220</v>
      </c>
      <c r="P77">
        <v>66</v>
      </c>
      <c r="R77">
        <v>33</v>
      </c>
      <c r="S77">
        <v>75</v>
      </c>
      <c r="U77">
        <v>27</v>
      </c>
      <c r="W77">
        <v>30</v>
      </c>
      <c r="X77">
        <v>24</v>
      </c>
      <c r="Y77">
        <v>95</v>
      </c>
      <c r="Z77">
        <v>160</v>
      </c>
      <c r="AA77">
        <v>140</v>
      </c>
      <c r="AB77">
        <v>29</v>
      </c>
      <c r="AH77">
        <f t="shared" si="3"/>
        <v>1150</v>
      </c>
      <c r="AI77" s="2" t="s">
        <v>2</v>
      </c>
      <c r="AK77">
        <v>74000</v>
      </c>
    </row>
    <row r="78" spans="1:37" x14ac:dyDescent="0.3">
      <c r="A78" s="2" t="s">
        <v>19</v>
      </c>
      <c r="E78">
        <v>40</v>
      </c>
      <c r="F78">
        <v>220</v>
      </c>
      <c r="J78">
        <v>15</v>
      </c>
      <c r="M78">
        <v>80</v>
      </c>
      <c r="P78">
        <v>10</v>
      </c>
      <c r="R78">
        <v>75</v>
      </c>
      <c r="S78">
        <v>69</v>
      </c>
      <c r="X78">
        <v>24</v>
      </c>
      <c r="Y78">
        <v>76</v>
      </c>
      <c r="AA78">
        <v>15</v>
      </c>
      <c r="AH78">
        <f t="shared" si="3"/>
        <v>624</v>
      </c>
      <c r="AI78" s="2" t="s">
        <v>19</v>
      </c>
      <c r="AK78">
        <f>SUM(AK76:AK77)</f>
        <v>184458</v>
      </c>
    </row>
    <row r="79" spans="1:37" x14ac:dyDescent="0.3">
      <c r="A79" s="2" t="s">
        <v>7</v>
      </c>
      <c r="E79">
        <v>120</v>
      </c>
      <c r="F79">
        <v>20</v>
      </c>
      <c r="H79">
        <v>50</v>
      </c>
      <c r="M79">
        <v>50</v>
      </c>
      <c r="W79">
        <v>30</v>
      </c>
      <c r="AA79">
        <v>80</v>
      </c>
      <c r="AH79">
        <f t="shared" si="3"/>
        <v>350</v>
      </c>
      <c r="AI79" s="2" t="s">
        <v>7</v>
      </c>
    </row>
    <row r="80" spans="1:37" x14ac:dyDescent="0.3">
      <c r="A80" s="2" t="s">
        <v>15</v>
      </c>
      <c r="J80">
        <v>538</v>
      </c>
      <c r="K80">
        <v>274</v>
      </c>
      <c r="L80">
        <v>391</v>
      </c>
      <c r="M80">
        <v>412</v>
      </c>
      <c r="AH80">
        <f t="shared" si="3"/>
        <v>1615</v>
      </c>
      <c r="AI80" s="2" t="s">
        <v>15</v>
      </c>
    </row>
    <row r="81" spans="1:36" x14ac:dyDescent="0.3">
      <c r="A81" s="2" t="s">
        <v>13</v>
      </c>
      <c r="K81">
        <v>264</v>
      </c>
      <c r="AH81">
        <f t="shared" si="3"/>
        <v>264</v>
      </c>
      <c r="AI81" s="2" t="s">
        <v>13</v>
      </c>
    </row>
    <row r="82" spans="1:36" x14ac:dyDescent="0.3">
      <c r="A82" s="2" t="s">
        <v>33</v>
      </c>
      <c r="X82">
        <v>125</v>
      </c>
      <c r="AH82">
        <f t="shared" si="3"/>
        <v>125</v>
      </c>
      <c r="AI82" s="2" t="s">
        <v>33</v>
      </c>
    </row>
    <row r="83" spans="1:36" x14ac:dyDescent="0.3">
      <c r="A83" s="2" t="s">
        <v>17</v>
      </c>
      <c r="H83">
        <v>707</v>
      </c>
      <c r="AH83">
        <f t="shared" si="3"/>
        <v>707</v>
      </c>
      <c r="AI83" s="2" t="s">
        <v>17</v>
      </c>
    </row>
    <row r="84" spans="1:36" x14ac:dyDescent="0.3">
      <c r="A84" s="2" t="s">
        <v>31</v>
      </c>
      <c r="C84">
        <v>12842</v>
      </c>
      <c r="AC84">
        <v>90</v>
      </c>
      <c r="AH84">
        <f t="shared" si="3"/>
        <v>12932</v>
      </c>
      <c r="AI84" s="2" t="s">
        <v>31</v>
      </c>
    </row>
    <row r="85" spans="1:36" x14ac:dyDescent="0.3">
      <c r="A85" s="2" t="s">
        <v>10</v>
      </c>
      <c r="L85">
        <v>530</v>
      </c>
      <c r="AH85">
        <f t="shared" si="3"/>
        <v>530</v>
      </c>
      <c r="AI85" s="2" t="s">
        <v>10</v>
      </c>
    </row>
    <row r="86" spans="1:36" x14ac:dyDescent="0.3">
      <c r="A86" s="2" t="s">
        <v>20</v>
      </c>
      <c r="C86">
        <v>50</v>
      </c>
      <c r="M86">
        <v>20</v>
      </c>
      <c r="S86">
        <v>199</v>
      </c>
      <c r="AH86">
        <f t="shared" si="3"/>
        <v>269</v>
      </c>
      <c r="AI86" s="2" t="s">
        <v>20</v>
      </c>
    </row>
    <row r="87" spans="1:36" x14ac:dyDescent="0.3">
      <c r="A87" s="2" t="s">
        <v>92</v>
      </c>
      <c r="F87">
        <v>20</v>
      </c>
      <c r="AH87">
        <f t="shared" si="3"/>
        <v>20</v>
      </c>
      <c r="AI87" s="2" t="s">
        <v>92</v>
      </c>
    </row>
    <row r="88" spans="1:36" x14ac:dyDescent="0.3">
      <c r="A88" s="2" t="s">
        <v>100</v>
      </c>
      <c r="E88">
        <v>80</v>
      </c>
      <c r="F88">
        <v>250</v>
      </c>
      <c r="AH88">
        <f t="shared" si="3"/>
        <v>330</v>
      </c>
      <c r="AI88" s="2" t="s">
        <v>100</v>
      </c>
    </row>
    <row r="89" spans="1:36" x14ac:dyDescent="0.3">
      <c r="A89" s="2" t="s">
        <v>12</v>
      </c>
      <c r="F89">
        <v>20</v>
      </c>
      <c r="I89">
        <v>40</v>
      </c>
      <c r="M89">
        <v>60</v>
      </c>
      <c r="N89">
        <v>40</v>
      </c>
      <c r="O89">
        <v>40</v>
      </c>
      <c r="P89">
        <v>40</v>
      </c>
      <c r="X89">
        <v>74017.7</v>
      </c>
      <c r="AB89">
        <v>41411</v>
      </c>
      <c r="AH89">
        <f t="shared" si="3"/>
        <v>115668.7</v>
      </c>
      <c r="AI89" s="2" t="s">
        <v>12</v>
      </c>
    </row>
    <row r="90" spans="1:36" x14ac:dyDescent="0.3">
      <c r="A90" s="2" t="s">
        <v>30</v>
      </c>
      <c r="E90">
        <v>138</v>
      </c>
      <c r="F90">
        <v>250</v>
      </c>
      <c r="S90">
        <v>77</v>
      </c>
      <c r="AH90">
        <f t="shared" si="3"/>
        <v>465</v>
      </c>
      <c r="AI90" s="2" t="s">
        <v>30</v>
      </c>
    </row>
    <row r="91" spans="1:36" x14ac:dyDescent="0.3">
      <c r="A91" s="2" t="s">
        <v>8</v>
      </c>
      <c r="I91">
        <v>610</v>
      </c>
      <c r="M91">
        <v>20</v>
      </c>
      <c r="AH91">
        <f t="shared" si="3"/>
        <v>630</v>
      </c>
      <c r="AI91" s="2" t="s">
        <v>8</v>
      </c>
    </row>
    <row r="92" spans="1:36" x14ac:dyDescent="0.3">
      <c r="A92" s="2" t="s">
        <v>4</v>
      </c>
      <c r="S92">
        <v>329</v>
      </c>
      <c r="AH92">
        <f t="shared" si="3"/>
        <v>329</v>
      </c>
      <c r="AI92" s="2" t="s">
        <v>4</v>
      </c>
    </row>
    <row r="93" spans="1:36" x14ac:dyDescent="0.3">
      <c r="A93" s="2" t="s">
        <v>89</v>
      </c>
      <c r="C93" s="13">
        <v>238</v>
      </c>
      <c r="D93" s="13">
        <v>434</v>
      </c>
      <c r="F93" s="13">
        <v>170</v>
      </c>
      <c r="J93" s="13">
        <v>28</v>
      </c>
      <c r="K93" s="13">
        <v>100</v>
      </c>
      <c r="M93" s="13">
        <v>132</v>
      </c>
      <c r="N93" s="13">
        <v>57.27</v>
      </c>
      <c r="O93" s="13">
        <v>439</v>
      </c>
      <c r="P93" s="13">
        <v>92</v>
      </c>
      <c r="AH93">
        <f t="shared" si="3"/>
        <v>1690.27</v>
      </c>
      <c r="AI93" s="2" t="s">
        <v>89</v>
      </c>
    </row>
    <row r="94" spans="1:36" x14ac:dyDescent="0.3">
      <c r="Q94" s="6">
        <f>SUM(B71:AE92)</f>
        <v>150655.62</v>
      </c>
      <c r="R94">
        <v>-128270</v>
      </c>
      <c r="AJ94">
        <f>SUM(AJ69,Q94)</f>
        <v>277529.82</v>
      </c>
    </row>
    <row r="95" spans="1:36" x14ac:dyDescent="0.3">
      <c r="B95" s="1">
        <v>46143</v>
      </c>
      <c r="C95" s="1">
        <v>46144</v>
      </c>
      <c r="D95" s="1">
        <v>46145</v>
      </c>
      <c r="E95" s="1">
        <v>46146</v>
      </c>
      <c r="F95" s="1">
        <v>46147</v>
      </c>
      <c r="G95" s="1">
        <v>46148</v>
      </c>
      <c r="H95" s="1">
        <v>46149</v>
      </c>
      <c r="I95" s="1">
        <v>46150</v>
      </c>
      <c r="J95" s="1">
        <v>46151</v>
      </c>
      <c r="K95" s="1">
        <v>46152</v>
      </c>
      <c r="L95" s="1">
        <v>46153</v>
      </c>
      <c r="M95" s="1">
        <v>46154</v>
      </c>
      <c r="N95" s="1">
        <v>46155</v>
      </c>
      <c r="O95" s="1">
        <v>46156</v>
      </c>
      <c r="P95" s="1">
        <v>46157</v>
      </c>
      <c r="Q95" s="1">
        <v>46158</v>
      </c>
      <c r="R95" s="1">
        <v>46159</v>
      </c>
      <c r="S95" s="1">
        <v>46160</v>
      </c>
      <c r="T95" s="1">
        <v>46161</v>
      </c>
      <c r="U95" s="1">
        <v>46162</v>
      </c>
      <c r="V95" s="1">
        <v>46163</v>
      </c>
      <c r="W95" s="1">
        <v>46164</v>
      </c>
      <c r="X95" s="1">
        <v>46165</v>
      </c>
      <c r="Y95" s="1">
        <v>46166</v>
      </c>
      <c r="Z95" s="1">
        <v>46167</v>
      </c>
      <c r="AA95" s="1">
        <v>46168</v>
      </c>
      <c r="AB95" s="1">
        <v>46169</v>
      </c>
      <c r="AC95" s="1">
        <v>46170</v>
      </c>
      <c r="AD95" s="1">
        <v>46171</v>
      </c>
      <c r="AE95" s="1">
        <v>46172</v>
      </c>
      <c r="AF95" s="1">
        <v>46173</v>
      </c>
    </row>
    <row r="96" spans="1:36" x14ac:dyDescent="0.3">
      <c r="A96" s="2" t="s">
        <v>5</v>
      </c>
      <c r="B96">
        <v>55</v>
      </c>
      <c r="D96">
        <v>28</v>
      </c>
      <c r="E96">
        <v>55</v>
      </c>
      <c r="G96">
        <v>55</v>
      </c>
      <c r="I96">
        <v>55</v>
      </c>
      <c r="K96">
        <v>58</v>
      </c>
      <c r="L96">
        <v>55</v>
      </c>
      <c r="N96">
        <v>55</v>
      </c>
      <c r="P96">
        <v>28</v>
      </c>
      <c r="Q96">
        <v>27</v>
      </c>
      <c r="S96">
        <v>55</v>
      </c>
      <c r="T96">
        <v>28</v>
      </c>
      <c r="U96">
        <v>55</v>
      </c>
      <c r="W96">
        <v>55</v>
      </c>
      <c r="X96">
        <v>30</v>
      </c>
      <c r="Z96">
        <v>27</v>
      </c>
      <c r="AH96">
        <f>SUM(B96:AF96)</f>
        <v>721</v>
      </c>
      <c r="AI96" s="2" t="s">
        <v>5</v>
      </c>
    </row>
    <row r="97" spans="1:35" x14ac:dyDescent="0.3">
      <c r="A97" t="s">
        <v>91</v>
      </c>
      <c r="Q97">
        <v>5</v>
      </c>
      <c r="AH97">
        <f>SUM(B97:AF97)</f>
        <v>5</v>
      </c>
      <c r="AI97" t="s">
        <v>91</v>
      </c>
    </row>
    <row r="98" spans="1:35" x14ac:dyDescent="0.3">
      <c r="A98" s="2" t="s">
        <v>0</v>
      </c>
      <c r="G98" s="5">
        <v>200</v>
      </c>
      <c r="P98">
        <v>400</v>
      </c>
      <c r="Y98">
        <v>200</v>
      </c>
      <c r="AH98">
        <f t="shared" ref="AH98:AH118" si="4">SUM(B98:AF98)</f>
        <v>800</v>
      </c>
      <c r="AI98" s="2" t="s">
        <v>0</v>
      </c>
    </row>
    <row r="99" spans="1:35" x14ac:dyDescent="0.3">
      <c r="A99" s="2" t="s">
        <v>16</v>
      </c>
      <c r="E99">
        <v>82</v>
      </c>
      <c r="G99">
        <v>32</v>
      </c>
      <c r="I99">
        <v>25</v>
      </c>
      <c r="J99">
        <v>30</v>
      </c>
      <c r="K99">
        <v>513</v>
      </c>
      <c r="L99">
        <v>20</v>
      </c>
      <c r="O99">
        <v>237</v>
      </c>
      <c r="R99">
        <v>80</v>
      </c>
      <c r="X99">
        <v>127</v>
      </c>
      <c r="Y99">
        <v>500</v>
      </c>
      <c r="AH99">
        <f t="shared" si="4"/>
        <v>1646</v>
      </c>
      <c r="AI99" s="2" t="s">
        <v>16</v>
      </c>
    </row>
    <row r="100" spans="1:35" x14ac:dyDescent="0.3">
      <c r="A100" s="2" t="s">
        <v>34</v>
      </c>
      <c r="E100">
        <v>717</v>
      </c>
      <c r="W100">
        <v>546</v>
      </c>
      <c r="X100">
        <v>180.65</v>
      </c>
      <c r="AH100">
        <f t="shared" si="4"/>
        <v>1443.65</v>
      </c>
      <c r="AI100" s="2" t="s">
        <v>34</v>
      </c>
    </row>
    <row r="101" spans="1:35" x14ac:dyDescent="0.3">
      <c r="A101" s="2" t="s">
        <v>18</v>
      </c>
      <c r="D101">
        <v>766.44</v>
      </c>
      <c r="F101">
        <v>70</v>
      </c>
      <c r="K101">
        <v>1066.8</v>
      </c>
      <c r="X101">
        <v>856.1</v>
      </c>
      <c r="AH101">
        <f t="shared" si="4"/>
        <v>2759.34</v>
      </c>
      <c r="AI101" s="2" t="s">
        <v>18</v>
      </c>
    </row>
    <row r="102" spans="1:35" x14ac:dyDescent="0.3">
      <c r="A102" s="2" t="s">
        <v>2</v>
      </c>
      <c r="B102">
        <v>29</v>
      </c>
      <c r="C102">
        <v>150</v>
      </c>
      <c r="G102">
        <v>28</v>
      </c>
      <c r="H102">
        <v>100</v>
      </c>
      <c r="J102">
        <v>35</v>
      </c>
      <c r="K102">
        <v>160</v>
      </c>
      <c r="M102">
        <v>27</v>
      </c>
      <c r="O102">
        <v>37</v>
      </c>
      <c r="P102">
        <v>50</v>
      </c>
      <c r="R102">
        <v>260</v>
      </c>
      <c r="Y102">
        <v>420</v>
      </c>
      <c r="AH102">
        <f t="shared" si="4"/>
        <v>1296</v>
      </c>
      <c r="AI102" s="2" t="s">
        <v>2</v>
      </c>
    </row>
    <row r="103" spans="1:35" x14ac:dyDescent="0.3">
      <c r="A103" s="2" t="s">
        <v>19</v>
      </c>
      <c r="E103">
        <v>36</v>
      </c>
      <c r="F103">
        <v>20</v>
      </c>
      <c r="M103">
        <v>103</v>
      </c>
      <c r="R103">
        <v>195</v>
      </c>
      <c r="X103">
        <v>71.75</v>
      </c>
      <c r="AH103">
        <f t="shared" si="4"/>
        <v>425.75</v>
      </c>
      <c r="AI103" s="2" t="s">
        <v>19</v>
      </c>
    </row>
    <row r="104" spans="1:35" x14ac:dyDescent="0.3">
      <c r="A104" s="2" t="s">
        <v>7</v>
      </c>
      <c r="C104">
        <v>50</v>
      </c>
      <c r="K104">
        <v>10</v>
      </c>
      <c r="S104">
        <v>60</v>
      </c>
      <c r="W104">
        <v>50</v>
      </c>
      <c r="Y104">
        <v>70</v>
      </c>
      <c r="AH104">
        <f t="shared" si="4"/>
        <v>240</v>
      </c>
      <c r="AI104" s="2" t="s">
        <v>7</v>
      </c>
    </row>
    <row r="105" spans="1:35" x14ac:dyDescent="0.3">
      <c r="A105" s="2" t="s">
        <v>15</v>
      </c>
      <c r="K105">
        <v>393</v>
      </c>
      <c r="L105">
        <v>295</v>
      </c>
      <c r="M105">
        <v>398</v>
      </c>
      <c r="N105">
        <v>513</v>
      </c>
      <c r="AH105">
        <f t="shared" si="4"/>
        <v>1599</v>
      </c>
      <c r="AI105" s="2" t="s">
        <v>15</v>
      </c>
    </row>
    <row r="106" spans="1:35" x14ac:dyDescent="0.3">
      <c r="A106" s="2" t="s">
        <v>13</v>
      </c>
      <c r="N106">
        <v>270</v>
      </c>
      <c r="AH106">
        <f t="shared" si="4"/>
        <v>270</v>
      </c>
      <c r="AI106" s="2" t="s">
        <v>13</v>
      </c>
    </row>
    <row r="107" spans="1:35" x14ac:dyDescent="0.3">
      <c r="A107" s="2" t="s">
        <v>99</v>
      </c>
      <c r="AH107">
        <f t="shared" si="4"/>
        <v>0</v>
      </c>
      <c r="AI107" s="2" t="s">
        <v>99</v>
      </c>
    </row>
    <row r="108" spans="1:35" x14ac:dyDescent="0.3">
      <c r="A108" s="2" t="s">
        <v>11</v>
      </c>
      <c r="O108">
        <v>925</v>
      </c>
      <c r="AH108">
        <f t="shared" si="4"/>
        <v>925</v>
      </c>
      <c r="AI108" s="2" t="s">
        <v>11</v>
      </c>
    </row>
    <row r="109" spans="1:35" x14ac:dyDescent="0.3">
      <c r="A109" s="2" t="s">
        <v>31</v>
      </c>
      <c r="V109">
        <v>20</v>
      </c>
      <c r="AH109">
        <f t="shared" si="4"/>
        <v>20</v>
      </c>
      <c r="AI109" s="2" t="s">
        <v>31</v>
      </c>
    </row>
    <row r="110" spans="1:35" x14ac:dyDescent="0.3">
      <c r="A110" s="2" t="s">
        <v>99</v>
      </c>
      <c r="C110">
        <v>200</v>
      </c>
      <c r="Y110">
        <v>80</v>
      </c>
      <c r="AH110">
        <f t="shared" si="4"/>
        <v>280</v>
      </c>
      <c r="AI110" s="2" t="s">
        <v>99</v>
      </c>
    </row>
    <row r="111" spans="1:35" x14ac:dyDescent="0.3">
      <c r="A111" s="2" t="s">
        <v>20</v>
      </c>
      <c r="C111">
        <v>499</v>
      </c>
      <c r="AH111">
        <f t="shared" si="4"/>
        <v>499</v>
      </c>
      <c r="AI111" s="2" t="s">
        <v>20</v>
      </c>
    </row>
    <row r="112" spans="1:35" x14ac:dyDescent="0.3">
      <c r="A112" s="2" t="s">
        <v>92</v>
      </c>
      <c r="AH112">
        <f t="shared" si="4"/>
        <v>0</v>
      </c>
      <c r="AI112" s="2" t="s">
        <v>92</v>
      </c>
    </row>
    <row r="113" spans="1:36" x14ac:dyDescent="0.3">
      <c r="A113" s="2" t="s">
        <v>100</v>
      </c>
      <c r="AH113">
        <f t="shared" si="4"/>
        <v>0</v>
      </c>
      <c r="AI113" s="2" t="s">
        <v>100</v>
      </c>
    </row>
    <row r="114" spans="1:36" x14ac:dyDescent="0.3">
      <c r="A114" s="2" t="s">
        <v>12</v>
      </c>
      <c r="C114">
        <v>300</v>
      </c>
      <c r="E114">
        <v>1499</v>
      </c>
      <c r="F114">
        <v>30</v>
      </c>
      <c r="G114">
        <v>15</v>
      </c>
      <c r="I114">
        <v>320</v>
      </c>
      <c r="V114">
        <v>50</v>
      </c>
      <c r="W114">
        <v>656</v>
      </c>
      <c r="Y114">
        <v>2060</v>
      </c>
      <c r="AH114">
        <f t="shared" si="4"/>
        <v>4930</v>
      </c>
      <c r="AI114" s="2" t="s">
        <v>12</v>
      </c>
    </row>
    <row r="115" spans="1:36" x14ac:dyDescent="0.3">
      <c r="A115" s="2" t="s">
        <v>30</v>
      </c>
      <c r="AH115">
        <f t="shared" si="4"/>
        <v>0</v>
      </c>
      <c r="AI115" s="2" t="s">
        <v>30</v>
      </c>
    </row>
    <row r="116" spans="1:36" x14ac:dyDescent="0.3">
      <c r="A116" s="2" t="s">
        <v>8</v>
      </c>
      <c r="M116">
        <v>49</v>
      </c>
      <c r="AH116">
        <f t="shared" si="4"/>
        <v>49</v>
      </c>
      <c r="AI116" s="2" t="s">
        <v>8</v>
      </c>
    </row>
    <row r="117" spans="1:36" x14ac:dyDescent="0.3">
      <c r="A117" s="2" t="s">
        <v>4</v>
      </c>
      <c r="C117">
        <v>100</v>
      </c>
      <c r="K117">
        <v>350</v>
      </c>
      <c r="L117">
        <v>15</v>
      </c>
      <c r="N117">
        <v>18285</v>
      </c>
      <c r="V117">
        <v>50</v>
      </c>
      <c r="AH117">
        <f t="shared" si="4"/>
        <v>18800</v>
      </c>
      <c r="AI117" s="2" t="s">
        <v>4</v>
      </c>
    </row>
    <row r="118" spans="1:36" x14ac:dyDescent="0.3">
      <c r="A118" s="2" t="s">
        <v>89</v>
      </c>
      <c r="G118" s="13">
        <v>10</v>
      </c>
      <c r="H118" s="13">
        <v>50</v>
      </c>
      <c r="I118" s="13">
        <v>26</v>
      </c>
      <c r="J118" s="13"/>
      <c r="K118" s="13"/>
      <c r="L118" s="13">
        <v>198</v>
      </c>
      <c r="N118" s="13">
        <v>256</v>
      </c>
      <c r="U118" s="13">
        <v>26</v>
      </c>
      <c r="V118" s="13">
        <v>7271</v>
      </c>
      <c r="W118" s="13">
        <v>269.29000000000002</v>
      </c>
      <c r="Y118" s="13">
        <v>20</v>
      </c>
      <c r="Z118" s="13">
        <v>15</v>
      </c>
      <c r="AA118" s="13">
        <v>181</v>
      </c>
      <c r="AH118">
        <f t="shared" si="4"/>
        <v>8322.2900000000009</v>
      </c>
      <c r="AI118" s="2" t="s">
        <v>89</v>
      </c>
    </row>
    <row r="119" spans="1:36" x14ac:dyDescent="0.3">
      <c r="Q119" s="6">
        <f>SUM(B96:AF117)</f>
        <v>36708.740000000005</v>
      </c>
      <c r="R119">
        <v>-18285</v>
      </c>
      <c r="AJ119">
        <f>SUM(AJ94,Q119)</f>
        <v>314238.56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2021</vt:lpstr>
      <vt:lpstr>2022</vt:lpstr>
      <vt:lpstr>trip</vt:lpstr>
      <vt:lpstr>2023</vt:lpstr>
      <vt:lpstr>2024</vt:lpstr>
      <vt:lpstr>2025</vt:lpstr>
      <vt:lpstr>2026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Niranjana Datta K A</dc:creator>
  <cp:lastModifiedBy>K A, Niranjana Datta</cp:lastModifiedBy>
  <dcterms:created xsi:type="dcterms:W3CDTF">2011-11-08T12:32:10Z</dcterms:created>
  <dcterms:modified xsi:type="dcterms:W3CDTF">2026-05-26T13:13:33Z</dcterms:modified>
</cp:coreProperties>
</file>